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ebextensions/webextension1.xml" ContentType="application/vnd.ms-office.webextension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D3D4094D-1FA8-4C57-ABFA-5CBB5BDEB25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apor" sheetId="1" r:id="rId1"/>
    <sheet name="Görevler " sheetId="2" r:id="rId2"/>
    <sheet name="Ekip" sheetId="3" r:id="rId3"/>
    <sheet name="Ayarlar" sheetId="4" r:id="rId4"/>
  </sheets>
  <definedNames>
    <definedName name="Dilimleyici_Durum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4" l="1"/>
  <c r="R28" i="1"/>
  <c r="J28" i="1"/>
  <c r="D28" i="1"/>
  <c r="F12" i="4"/>
  <c r="R23" i="1" s="1"/>
  <c r="F11" i="4"/>
  <c r="J23" i="1" s="1"/>
  <c r="F10" i="4"/>
  <c r="D23" i="1" s="1"/>
  <c r="C9" i="4"/>
  <c r="C10" i="4"/>
  <c r="C11" i="4"/>
  <c r="E3" i="2"/>
  <c r="H7" i="2"/>
  <c r="E7" i="2"/>
  <c r="E8" i="2"/>
  <c r="E9" i="2"/>
  <c r="E10" i="2"/>
  <c r="E11" i="2"/>
  <c r="E12" i="2"/>
  <c r="E13" i="2"/>
  <c r="E14" i="2"/>
  <c r="E15" i="2"/>
  <c r="E16" i="2"/>
  <c r="E17" i="2"/>
  <c r="E18" i="2"/>
  <c r="H8" i="2"/>
  <c r="H9" i="2"/>
  <c r="H10" i="2"/>
  <c r="H11" i="2"/>
  <c r="H12" i="2"/>
  <c r="H13" i="2"/>
  <c r="H14" i="2"/>
  <c r="H15" i="2"/>
  <c r="H16" i="2"/>
  <c r="H17" i="2"/>
  <c r="H18" i="2"/>
</calcChain>
</file>

<file path=xl/sharedStrings.xml><?xml version="1.0" encoding="utf-8"?>
<sst xmlns="http://schemas.openxmlformats.org/spreadsheetml/2006/main" count="68" uniqueCount="44">
  <si>
    <t>Gantt Şeması</t>
  </si>
  <si>
    <t>Durum Dağılımı</t>
  </si>
  <si>
    <t>GÖREVLER</t>
  </si>
  <si>
    <t>Görev Adı</t>
  </si>
  <si>
    <t>Durumu</t>
  </si>
  <si>
    <t>Atanan kişi</t>
  </si>
  <si>
    <t>Rolü</t>
  </si>
  <si>
    <t>Başlama Tarihi</t>
  </si>
  <si>
    <t>Bitiş Tarihi</t>
  </si>
  <si>
    <t>Toplam İş Günü</t>
  </si>
  <si>
    <t>Proje Kick-Off Toplantısı</t>
  </si>
  <si>
    <t>Yapılacak</t>
  </si>
  <si>
    <t>Halit Erdağ</t>
  </si>
  <si>
    <t>Risk Değerlendirme Toplantısı</t>
  </si>
  <si>
    <t>Üstünde Çalışılıyor</t>
  </si>
  <si>
    <t>Gerekli Programların Bilgisayarlara Kurulumları</t>
  </si>
  <si>
    <t>Ali Yıldırım</t>
  </si>
  <si>
    <t>Gereksinimlerin Toplanması</t>
  </si>
  <si>
    <t>Tamamlandı</t>
  </si>
  <si>
    <t>Uygulama Önyüz Tasarımının Çıkarılması</t>
  </si>
  <si>
    <t>Murat Karadağ</t>
  </si>
  <si>
    <t>Kullanıcı Durum Diyagramlarının Çıkarılması</t>
  </si>
  <si>
    <t>Sponsor Toplantısı</t>
  </si>
  <si>
    <t>Geliştirme Sürecinin Başlaması</t>
  </si>
  <si>
    <t>Testlerin Yapılması</t>
  </si>
  <si>
    <t>Zeynep Dağlı</t>
  </si>
  <si>
    <t>Son Kontroller</t>
  </si>
  <si>
    <t>Canlı Duyurusu</t>
  </si>
  <si>
    <t>Test Görevi</t>
  </si>
  <si>
    <t>EKİP</t>
  </si>
  <si>
    <t>Ad Soyad</t>
  </si>
  <si>
    <t>Rol</t>
  </si>
  <si>
    <t>Proje Yöneticisi</t>
  </si>
  <si>
    <t>UI/UX Tasarımcısı</t>
  </si>
  <si>
    <t>Test Sorumlusu</t>
  </si>
  <si>
    <t>Help Desk Sorumlusu</t>
  </si>
  <si>
    <t>AYARLAR</t>
  </si>
  <si>
    <t>Durum</t>
  </si>
  <si>
    <t>Kaç Adet</t>
  </si>
  <si>
    <t>Toplam Görev Sayısı</t>
  </si>
  <si>
    <t>Dashboard Göstergeleri</t>
  </si>
  <si>
    <t>Gecikmiş Görev Sayısı</t>
  </si>
  <si>
    <t>Proje Toplam İş Günü</t>
  </si>
  <si>
    <t>Ekip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</si>
</sst>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rgb="FF156127"/>
      <name val="Calibri"/>
      <scheme val="minor"/>
    </font>
    <font>
      <sz val="11"/>
      <color rgb="FF156127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2060"/>
      <name val="Calibri"/>
      <scheme val="minor"/>
    </font>
    <font>
      <sz val="30"/>
      <color theme="1"/>
      <name val="Calibri"/>
      <family val="2"/>
      <scheme val="minor"/>
    </font>
    <font>
      <b/>
      <sz val="30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theme="7" tint="-0.499984740745262"/>
      <name val="Calibri"/>
      <family val="2"/>
      <scheme val="minor"/>
    </font>
    <font>
      <b/>
      <sz val="28"/>
      <color theme="7" tint="-0.499984740745262"/>
      <name val="Calibri"/>
      <family val="2"/>
      <scheme val="minor"/>
    </font>
    <font>
      <b/>
      <sz val="30"/>
      <color theme="9" tint="-0.499984740745262"/>
      <name val="Calibri"/>
      <family val="2"/>
      <scheme val="minor"/>
    </font>
    <font>
      <sz val="14"/>
      <color theme="9" tint="-0.499984740745262"/>
      <name val="Calibri"/>
      <family val="2"/>
      <scheme val="minor"/>
    </font>
    <font>
      <b/>
      <sz val="20"/>
      <color theme="4" tint="-0.249977111117893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quotePrefix="1" applyNumberForma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quotePrefix="1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/>
    <xf numFmtId="0" fontId="0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" fontId="0" fillId="6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7" borderId="0" xfId="0" applyFill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18"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rgb="FF156127"/>
      </font>
      <fill>
        <patternFill patternType="solid">
          <fgColor indexed="64"/>
          <bgColor theme="9" tint="0.59999389629810485"/>
        </patternFill>
      </fill>
      <alignment horizontal="center" vertical="center"/>
    </dxf>
    <dxf>
      <numFmt numFmtId="1" formatCode="0"/>
      <alignment horizontal="center" vertical="center"/>
    </dxf>
    <dxf>
      <numFmt numFmtId="19" formatCode="d/mm/yyyy"/>
      <alignment horizontal="center" vertical="center"/>
    </dxf>
    <dxf>
      <numFmt numFmtId="19" formatCode="d/mm/yyyy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/>
    </dxf>
    <dxf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156127"/>
      <color rgb="FF3780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v>Seri1</c:v>
          </c:tx>
          <c:spPr>
            <a:solidFill>
              <a:srgbClr val="FFFFFF"/>
            </a:solidFill>
            <a:ln>
              <a:noFill/>
            </a:ln>
            <a:effectLst/>
          </c:spPr>
          <c:invertIfNegative val="0"/>
          <c:cat>
            <c:strRef>
              <c:f>'Görevler '!B7:B18</c:f>
              <c:strCache>
                <c:ptCount val="12"/>
                <c:pt idx="0">
                  <c:v>Proje Kick-Off Toplantısı</c:v>
                </c:pt>
                <c:pt idx="1">
                  <c:v>Risk Değerlendirme Toplantısı</c:v>
                </c:pt>
                <c:pt idx="2">
                  <c:v>Gerekli Programların Bilgisayarlara Kurulumları</c:v>
                </c:pt>
                <c:pt idx="3">
                  <c:v>Gereksinimlerin Toplanması</c:v>
                </c:pt>
                <c:pt idx="4">
                  <c:v>Uygulama Önyüz Tasarımının Çıkarılması</c:v>
                </c:pt>
                <c:pt idx="5">
                  <c:v>Kullanıcı Durum Diyagramlarının Çıkarılması</c:v>
                </c:pt>
                <c:pt idx="6">
                  <c:v>Sponsor Toplantısı</c:v>
                </c:pt>
                <c:pt idx="7">
                  <c:v>Geliştirme Sürecinin Başlaması</c:v>
                </c:pt>
                <c:pt idx="8">
                  <c:v>Testlerin Yapılması</c:v>
                </c:pt>
                <c:pt idx="9">
                  <c:v>Son Kontroller</c:v>
                </c:pt>
                <c:pt idx="10">
                  <c:v>Canlı Duyurusu</c:v>
                </c:pt>
                <c:pt idx="11">
                  <c:v>Test Görevi</c:v>
                </c:pt>
              </c:strCache>
            </c:strRef>
          </c:cat>
          <c:val>
            <c:numRef>
              <c:f>'Görevler '!$G$7:$G$18</c:f>
              <c:numCache>
                <c:formatCode>m/d/yyyy</c:formatCode>
                <c:ptCount val="12"/>
                <c:pt idx="0">
                  <c:v>46225</c:v>
                </c:pt>
                <c:pt idx="1">
                  <c:v>46223</c:v>
                </c:pt>
                <c:pt idx="2">
                  <c:v>46233</c:v>
                </c:pt>
                <c:pt idx="3">
                  <c:v>46253</c:v>
                </c:pt>
                <c:pt idx="4">
                  <c:v>46254</c:v>
                </c:pt>
                <c:pt idx="5">
                  <c:v>46273</c:v>
                </c:pt>
                <c:pt idx="6">
                  <c:v>46286</c:v>
                </c:pt>
                <c:pt idx="7">
                  <c:v>46295</c:v>
                </c:pt>
                <c:pt idx="8">
                  <c:v>46310</c:v>
                </c:pt>
                <c:pt idx="9">
                  <c:v>46315</c:v>
                </c:pt>
                <c:pt idx="10">
                  <c:v>46316</c:v>
                </c:pt>
                <c:pt idx="11">
                  <c:v>46292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D-46A8-B8B2-65CEEF492F27}"/>
            </c:ext>
          </c:extLst>
        </c:ser>
        <c:ser>
          <c:idx val="1"/>
          <c:order val="1"/>
          <c:tx>
            <c:v>Seri2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'Görevler '!B7:B18</c:f>
              <c:strCache>
                <c:ptCount val="12"/>
                <c:pt idx="0">
                  <c:v>Proje Kick-Off Toplantısı</c:v>
                </c:pt>
                <c:pt idx="1">
                  <c:v>Risk Değerlendirme Toplantısı</c:v>
                </c:pt>
                <c:pt idx="2">
                  <c:v>Gerekli Programların Bilgisayarlara Kurulumları</c:v>
                </c:pt>
                <c:pt idx="3">
                  <c:v>Gereksinimlerin Toplanması</c:v>
                </c:pt>
                <c:pt idx="4">
                  <c:v>Uygulama Önyüz Tasarımının Çıkarılması</c:v>
                </c:pt>
                <c:pt idx="5">
                  <c:v>Kullanıcı Durum Diyagramlarının Çıkarılması</c:v>
                </c:pt>
                <c:pt idx="6">
                  <c:v>Sponsor Toplantısı</c:v>
                </c:pt>
                <c:pt idx="7">
                  <c:v>Geliştirme Sürecinin Başlaması</c:v>
                </c:pt>
                <c:pt idx="8">
                  <c:v>Testlerin Yapılması</c:v>
                </c:pt>
                <c:pt idx="9">
                  <c:v>Son Kontroller</c:v>
                </c:pt>
                <c:pt idx="10">
                  <c:v>Canlı Duyurusu</c:v>
                </c:pt>
                <c:pt idx="11">
                  <c:v>Test Görevi</c:v>
                </c:pt>
              </c:strCache>
            </c:strRef>
          </c:cat>
          <c:val>
            <c:numRef>
              <c:f>'Görevler '!H7:H18</c:f>
              <c:numCache>
                <c:formatCode>0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7</c:v>
                </c:pt>
                <c:pt idx="6">
                  <c:v>3</c:v>
                </c:pt>
                <c:pt idx="7">
                  <c:v>8</c:v>
                </c:pt>
                <c:pt idx="8">
                  <c:v>9</c:v>
                </c:pt>
                <c:pt idx="9">
                  <c:v>3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DD-46A8-B8B2-65CEEF492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6"/>
        <c:overlap val="100"/>
        <c:axId val="1641139719"/>
        <c:axId val="1649949191"/>
      </c:barChart>
      <c:catAx>
        <c:axId val="164113971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E1F2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949191"/>
        <c:crosses val="autoZero"/>
        <c:auto val="1"/>
        <c:lblAlgn val="ctr"/>
        <c:lblOffset val="100"/>
        <c:noMultiLvlLbl val="0"/>
      </c:catAx>
      <c:valAx>
        <c:axId val="1649949191"/>
        <c:scaling>
          <c:orientation val="minMax"/>
        </c:scaling>
        <c:delete val="0"/>
        <c:axPos val="t"/>
        <c:majorGridlines>
          <c:spPr>
            <a:ln w="6350" cap="flat" cmpd="sng" algn="ctr">
              <a:solidFill>
                <a:srgbClr val="8497B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solidFill>
            <a:srgbClr val="FFFFFF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139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tx>
            <c:strRef>
              <c:f>Ayarlar!$C$8</c:f>
              <c:strCache>
                <c:ptCount val="1"/>
                <c:pt idx="0">
                  <c:v>Kaç Adet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BD-43C8-A1BA-136EC0D47C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BD-43C8-A1BA-136EC0D47C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BD-43C8-A1BA-136EC0D47C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Ayarlar!$B$9:$B$11</c:f>
              <c:strCache>
                <c:ptCount val="3"/>
                <c:pt idx="0">
                  <c:v>Yapılacak</c:v>
                </c:pt>
                <c:pt idx="1">
                  <c:v>Üstünde Çalışılıyor</c:v>
                </c:pt>
                <c:pt idx="2">
                  <c:v>Tamamlandı</c:v>
                </c:pt>
              </c:strCache>
            </c:strRef>
          </c:cat>
          <c:val>
            <c:numRef>
              <c:f>Ayarlar!$C$9:$C$11</c:f>
              <c:numCache>
                <c:formatCode>General</c:formatCode>
                <c:ptCount val="3"/>
                <c:pt idx="0">
                  <c:v>6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BD-43C8-A1BA-136EC0D47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9525</xdr:rowOff>
    </xdr:from>
    <xdr:to>
      <xdr:col>14</xdr:col>
      <xdr:colOff>533400</xdr:colOff>
      <xdr:row>18</xdr:row>
      <xdr:rowOff>85725</xdr:rowOff>
    </xdr:to>
    <xdr:graphicFrame macro="">
      <xdr:nvGraphicFramePr>
        <xdr:cNvPr id="2" name="Çizelge 5">
          <a:extLst>
            <a:ext uri="{FF2B5EF4-FFF2-40B4-BE49-F238E27FC236}">
              <a16:creationId xmlns:a16="http://schemas.microsoft.com/office/drawing/2014/main" id="{1F79B0F5-6195-4CAF-A9A7-00B82D3D74B8}"/>
            </a:ext>
            <a:ext uri="{147F2762-F138-4A5C-976F-8EAC2B608ADB}">
              <a16:predDERef xmlns:a16="http://schemas.microsoft.com/office/drawing/2014/main" pred="{9298193D-89E3-4A64-8644-07922F00E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190500</xdr:colOff>
      <xdr:row>4</xdr:row>
      <xdr:rowOff>0</xdr:rowOff>
    </xdr:from>
    <xdr:to>
      <xdr:col>22</xdr:col>
      <xdr:colOff>561975</xdr:colOff>
      <xdr:row>18</xdr:row>
      <xdr:rowOff>133350</xdr:rowOff>
    </xdr:to>
    <xdr:graphicFrame macro="">
      <xdr:nvGraphicFramePr>
        <xdr:cNvPr id="3" name="Çizelge 1">
          <a:extLst>
            <a:ext uri="{FF2B5EF4-FFF2-40B4-BE49-F238E27FC236}">
              <a16:creationId xmlns:a16="http://schemas.microsoft.com/office/drawing/2014/main" id="{8E11AD34-C6C7-4CA6-BFD5-DE163F1A8EBF}"/>
            </a:ext>
            <a:ext uri="{147F2762-F138-4A5C-976F-8EAC2B608ADB}">
              <a16:predDERef xmlns:a16="http://schemas.microsoft.com/office/drawing/2014/main" pred="{1F79B0F5-6195-4CAF-A9A7-00B82D3D7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504825</xdr:colOff>
      <xdr:row>22</xdr:row>
      <xdr:rowOff>85725</xdr:rowOff>
    </xdr:from>
    <xdr:to>
      <xdr:col>22</xdr:col>
      <xdr:colOff>257175</xdr:colOff>
      <xdr:row>30</xdr:row>
      <xdr:rowOff>66675</xdr:rowOff>
    </xdr:to>
    <xdr:sp macro="" textlink="">
      <xdr:nvSpPr>
        <xdr:cNvPr id="5" name="Yuvarlatılmış Dikdörtgen 4">
          <a:extLst>
            <a:ext uri="{FF2B5EF4-FFF2-40B4-BE49-F238E27FC236}">
              <a16:creationId xmlns:a16="http://schemas.microsoft.com/office/drawing/2014/main" id="{09010E5D-242C-37C8-BD36-9A7F21BD9AA0}"/>
            </a:ext>
            <a:ext uri="{147F2762-F138-4A5C-976F-8EAC2B608ADB}">
              <a16:predDERef xmlns:a16="http://schemas.microsoft.com/office/drawing/2014/main" pred="{8E11AD34-C6C7-4CA6-BFD5-DE163F1A8EBF}"/>
            </a:ext>
          </a:extLst>
        </xdr:cNvPr>
        <xdr:cNvSpPr/>
      </xdr:nvSpPr>
      <xdr:spPr>
        <a:xfrm>
          <a:off x="10258425" y="4419600"/>
          <a:ext cx="3409950" cy="1552575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</xdr:col>
      <xdr:colOff>104775</xdr:colOff>
      <xdr:row>22</xdr:row>
      <xdr:rowOff>28575</xdr:rowOff>
    </xdr:from>
    <xdr:to>
      <xdr:col>13</xdr:col>
      <xdr:colOff>466725</xdr:colOff>
      <xdr:row>30</xdr:row>
      <xdr:rowOff>9525</xdr:rowOff>
    </xdr:to>
    <xdr:sp macro="" textlink="">
      <xdr:nvSpPr>
        <xdr:cNvPr id="6" name="Yuvarlatılmış Dikdörtgen 5">
          <a:extLst>
            <a:ext uri="{FF2B5EF4-FFF2-40B4-BE49-F238E27FC236}">
              <a16:creationId xmlns:a16="http://schemas.microsoft.com/office/drawing/2014/main" id="{930A3A21-5BB9-4285-9E97-0F7EC29F92DE}"/>
            </a:ext>
            <a:ext uri="{147F2762-F138-4A5C-976F-8EAC2B608ADB}">
              <a16:predDERef xmlns:a16="http://schemas.microsoft.com/office/drawing/2014/main" pred="{09010E5D-242C-37C8-BD36-9A7F21BD9AA0}"/>
            </a:ext>
          </a:extLst>
        </xdr:cNvPr>
        <xdr:cNvSpPr/>
      </xdr:nvSpPr>
      <xdr:spPr>
        <a:xfrm>
          <a:off x="4981575" y="4362450"/>
          <a:ext cx="3409950" cy="1552575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190500</xdr:colOff>
      <xdr:row>22</xdr:row>
      <xdr:rowOff>9525</xdr:rowOff>
    </xdr:from>
    <xdr:to>
      <xdr:col>7</xdr:col>
      <xdr:colOff>552450</xdr:colOff>
      <xdr:row>29</xdr:row>
      <xdr:rowOff>180975</xdr:rowOff>
    </xdr:to>
    <xdr:sp macro="" textlink="">
      <xdr:nvSpPr>
        <xdr:cNvPr id="7" name="Yuvarlatılmış Dikdörtgen 6">
          <a:extLst>
            <a:ext uri="{FF2B5EF4-FFF2-40B4-BE49-F238E27FC236}">
              <a16:creationId xmlns:a16="http://schemas.microsoft.com/office/drawing/2014/main" id="{39D13149-625C-4DE4-9F7B-8BCD81E0AA02}"/>
            </a:ext>
            <a:ext uri="{147F2762-F138-4A5C-976F-8EAC2B608ADB}">
              <a16:predDERef xmlns:a16="http://schemas.microsoft.com/office/drawing/2014/main" pred="{930A3A21-5BB9-4285-9E97-0F7EC29F92DE}"/>
            </a:ext>
          </a:extLst>
        </xdr:cNvPr>
        <xdr:cNvSpPr/>
      </xdr:nvSpPr>
      <xdr:spPr>
        <a:xfrm>
          <a:off x="1409700" y="4343400"/>
          <a:ext cx="3409950" cy="1552575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5</xdr:row>
      <xdr:rowOff>161925</xdr:rowOff>
    </xdr:from>
    <xdr:to>
      <xdr:col>11</xdr:col>
      <xdr:colOff>600075</xdr:colOff>
      <xdr:row>16</xdr:row>
      <xdr:rowOff>161925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pp1">
              <a:extLst>
                <a:ext uri="{FF2B5EF4-FFF2-40B4-BE49-F238E27FC236}">
                  <a16:creationId xmlns:a16="http://schemas.microsoft.com/office/drawing/2014/main" id="{9298193D-89E3-4A64-8644-07922F00ED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72750" y="1257300"/>
              <a:ext cx="22860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466725</xdr:colOff>
      <xdr:row>16</xdr:row>
      <xdr:rowOff>19050</xdr:rowOff>
    </xdr:from>
    <xdr:to>
      <xdr:col>13</xdr:col>
      <xdr:colOff>466725</xdr:colOff>
      <xdr:row>29</xdr:row>
      <xdr:rowOff>180975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3" name="Durum">
              <a:extLst>
                <a:ext uri="{FF2B5EF4-FFF2-40B4-BE49-F238E27FC236}">
                  <a16:creationId xmlns:a16="http://schemas.microsoft.com/office/drawing/2014/main" id="{EAF43F5F-CC6A-0052-93FF-4095B206EF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uru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43975" y="32099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Durum" xr10:uid="{E2053B92-CB7B-4F43-8BAF-0CA56EC06FB0}" sourceName="Durum">
  <extLst>
    <x:ext xmlns:x15="http://schemas.microsoft.com/office/spreadsheetml/2010/11/main" uri="{2F2917AC-EB37-4324-AD4E-5DD8C200BD13}">
      <x15:tableSlicerCache tableId="5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urum" xr10:uid="{6CB1BE22-85B3-47FE-BE1E-F8600B636934}" cache="Dilimleyici_Durum" caption="Durum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A26F53-4F2B-48D0-96D0-C2447FF2AA08}" name="Tablo3" displayName="Tablo3" ref="B6:H18" totalsRowShown="0" headerRowDxfId="16" dataDxfId="15">
  <autoFilter ref="B6:H18" xr:uid="{51A26F53-4F2B-48D0-96D0-C2447FF2AA08}"/>
  <tableColumns count="7">
    <tableColumn id="1" xr3:uid="{E0E34810-626F-4A8D-92FF-1A26C07F4A4D}" name="Görev Adı" dataDxfId="14"/>
    <tableColumn id="2" xr3:uid="{411602AD-594B-4BC8-86A7-95F0F55B8FCA}" name="Durumu" dataDxfId="13"/>
    <tableColumn id="3" xr3:uid="{620DA617-4B4D-4ECD-BB02-3A98849312C5}" name="Atanan kişi" dataDxfId="12"/>
    <tableColumn id="4" xr3:uid="{2502C8FA-414D-4D8F-BA7E-BBCAB231F0BB}" name="Rolü" dataDxfId="11">
      <calculatedColumnFormula>_xlfn.XLOOKUP(Tablo3[[#This Row],[Atanan kişi]],Tablo4[Ad Soyad],Tablo4[Rol],"")</calculatedColumnFormula>
    </tableColumn>
    <tableColumn id="5" xr3:uid="{ACB53846-AE2F-4E9D-B6EE-AB76C682F0F3}" name="Başlama Tarihi" dataDxfId="10"/>
    <tableColumn id="6" xr3:uid="{8F4A82E3-C2F8-4F17-BBC7-85749EA5ABC6}" name="Bitiş Tarihi" dataDxfId="9"/>
    <tableColumn id="7" xr3:uid="{DF96A831-8631-469D-8EA6-B7D2E15E5259}" name="Toplam İş Günü" dataDxfId="8">
      <calculatedColumnFormula>NETWORKDAYS(Tablo3[[#This Row],[Başlama Tarihi]],Tablo3[[#This Row],[Bitiş Tarihi]])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25B4BC-D490-4B88-9C11-D7CA9B8E2AE3}" name="Tablo4" displayName="Tablo4" ref="B5:C9" totalsRowShown="0" headerRowDxfId="7" dataDxfId="6">
  <autoFilter ref="B5:C9" xr:uid="{6225B4BC-D490-4B88-9C11-D7CA9B8E2AE3}"/>
  <tableColumns count="2">
    <tableColumn id="1" xr3:uid="{7DD2CBF4-26FB-4A2E-9E63-2335BBFAE1BC}" name="Ad Soyad" dataDxfId="5"/>
    <tableColumn id="2" xr3:uid="{A947DD29-7206-4F41-BDF2-CFEDF620528B}" name="Rol" dataDxfId="4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2E6B96-A0FB-40A0-9C21-A22E9B67A2DF}" name="Tablo5" displayName="Tablo5" ref="B8:C11" totalsRowShown="0" headerRowDxfId="3" dataDxfId="2">
  <autoFilter ref="B8:C11" xr:uid="{F52E6B96-A0FB-40A0-9C21-A22E9B67A2DF}"/>
  <tableColumns count="2">
    <tableColumn id="1" xr3:uid="{96CB46D5-14CD-49CF-92BE-6AA095D1BD54}" name="Durum" dataDxfId="1"/>
    <tableColumn id="2" xr3:uid="{49253A19-490A-41F6-BED3-7E947E77A291}" name="Kaç Adet" dataDxfId="0">
      <calculatedColumnFormula>COUNTIF('Görevler '!C:C,Tablo5[[#This Row],[Durum]])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webextension1.xml><?xml version="1.0" encoding="utf-8"?>
<we:webextension xmlns:we="http://schemas.microsoft.com/office/webextensions/webextension/2010/11" id="{9298193D-89E3-4A64-8644-07922F00EDB9}">
  <we:reference id="WA102957665" version="1.3.0.0" store="tr-TR" storeType="omex"/>
  <we:alternateReferences>
    <we:reference id="WA102957665" version="1.3.0.0" store="omex" storeType="omex"/>
  </we:alternateReferences>
  <we:properties>
    <we:property name="opt_cal_sys" value="1"/>
    <we:property name="opt_wn" value="false"/>
    <we:property name="opt_theme" value="1"/>
    <we:property name="opt_size" value="0"/>
    <we:property name="opt_confirm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AE32"/>
  <sheetViews>
    <sheetView showGridLines="0" tabSelected="1" workbookViewId="0">
      <selection activeCell="F32" sqref="F32"/>
    </sheetView>
  </sheetViews>
  <sheetFormatPr defaultRowHeight="15"/>
  <sheetData>
    <row r="3" spans="3:31" ht="26.25">
      <c r="C3" s="21" t="s">
        <v>0</v>
      </c>
      <c r="R3" s="17" t="s">
        <v>1</v>
      </c>
    </row>
    <row r="16" spans="3:31" ht="15" customHeight="1">
      <c r="AA16" s="27"/>
      <c r="AB16" s="27"/>
      <c r="AC16" s="27"/>
      <c r="AD16" s="27"/>
      <c r="AE16" s="27"/>
    </row>
    <row r="17" spans="4:31" ht="15" customHeight="1">
      <c r="AA17" s="27"/>
      <c r="AB17" s="27"/>
      <c r="AC17" s="27"/>
      <c r="AD17" s="27"/>
      <c r="AE17" s="27"/>
    </row>
    <row r="18" spans="4:31" ht="15" customHeight="1">
      <c r="AA18" s="27"/>
      <c r="AB18" s="27"/>
      <c r="AC18" s="27"/>
      <c r="AD18" s="27"/>
      <c r="AE18" s="27"/>
    </row>
    <row r="19" spans="4:31" ht="15" customHeight="1">
      <c r="AA19" s="27"/>
      <c r="AB19" s="27"/>
      <c r="AC19" s="27"/>
      <c r="AD19" s="27"/>
      <c r="AE19" s="27"/>
    </row>
    <row r="21" spans="4:31">
      <c r="J21" s="23"/>
    </row>
    <row r="23" spans="4:31">
      <c r="D23" s="24">
        <f ca="1">Ayarlar!F10</f>
        <v>5</v>
      </c>
      <c r="E23" s="24"/>
      <c r="F23" s="24"/>
      <c r="G23" s="24"/>
      <c r="J23" s="28">
        <f>Ayarlar!F11</f>
        <v>63</v>
      </c>
      <c r="K23" s="29"/>
      <c r="L23" s="29"/>
      <c r="M23" s="29"/>
      <c r="R23" s="27">
        <f>Ayarlar!F12</f>
        <v>4</v>
      </c>
      <c r="S23" s="27"/>
      <c r="T23" s="27"/>
      <c r="U23" s="27"/>
      <c r="V23" s="27"/>
    </row>
    <row r="24" spans="4:31">
      <c r="D24" s="24"/>
      <c r="E24" s="24"/>
      <c r="F24" s="24"/>
      <c r="G24" s="24"/>
      <c r="J24" s="29"/>
      <c r="K24" s="29"/>
      <c r="L24" s="29"/>
      <c r="M24" s="29"/>
      <c r="R24" s="27"/>
      <c r="S24" s="27"/>
      <c r="T24" s="27"/>
      <c r="U24" s="27"/>
      <c r="V24" s="27"/>
    </row>
    <row r="25" spans="4:31">
      <c r="D25" s="24"/>
      <c r="E25" s="24"/>
      <c r="F25" s="24"/>
      <c r="G25" s="24"/>
      <c r="J25" s="29"/>
      <c r="K25" s="29"/>
      <c r="L25" s="29"/>
      <c r="M25" s="29"/>
      <c r="R25" s="27"/>
      <c r="S25" s="27"/>
      <c r="T25" s="27"/>
      <c r="U25" s="27"/>
      <c r="V25" s="27"/>
    </row>
    <row r="26" spans="4:31">
      <c r="D26" s="24"/>
      <c r="E26" s="24"/>
      <c r="F26" s="24"/>
      <c r="G26" s="24"/>
      <c r="J26" s="29"/>
      <c r="K26" s="29"/>
      <c r="L26" s="29"/>
      <c r="M26" s="29"/>
      <c r="R26" s="27"/>
      <c r="S26" s="27"/>
      <c r="T26" s="27"/>
      <c r="U26" s="27"/>
      <c r="V26" s="27"/>
    </row>
    <row r="28" spans="4:31" ht="18.75">
      <c r="D28" s="25" t="str">
        <f>Ayarlar!E10</f>
        <v>Gecikmiş Görev Sayısı</v>
      </c>
      <c r="E28" s="25"/>
      <c r="F28" s="25"/>
      <c r="G28" s="25"/>
      <c r="J28" s="30" t="str">
        <f>Ayarlar!E11</f>
        <v>Proje Toplam İş Günü</v>
      </c>
      <c r="K28" s="30"/>
      <c r="L28" s="30"/>
      <c r="M28" s="30"/>
      <c r="R28" s="26" t="str">
        <f>Ayarlar!E12</f>
        <v>Ekip Sayısı</v>
      </c>
      <c r="S28" s="26"/>
      <c r="T28" s="26"/>
      <c r="U28" s="26"/>
      <c r="V28" s="26"/>
    </row>
    <row r="32" spans="4:31" ht="39">
      <c r="D32" s="22"/>
    </row>
  </sheetData>
  <mergeCells count="7">
    <mergeCell ref="AA16:AE19"/>
    <mergeCell ref="D23:G26"/>
    <mergeCell ref="D28:G28"/>
    <mergeCell ref="J23:M26"/>
    <mergeCell ref="J28:M28"/>
    <mergeCell ref="R23:V26"/>
    <mergeCell ref="R28:V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7231-0930-4E3A-980E-A48834A3D08E}">
  <dimension ref="B2:H33"/>
  <sheetViews>
    <sheetView showGridLines="0" topLeftCell="B1" workbookViewId="0">
      <selection activeCell="N11" sqref="N11"/>
    </sheetView>
  </sheetViews>
  <sheetFormatPr defaultRowHeight="15"/>
  <cols>
    <col min="1" max="1" width="6.5703125" style="1" customWidth="1"/>
    <col min="2" max="2" width="46.140625" style="3" customWidth="1"/>
    <col min="3" max="3" width="17.5703125" style="3" bestFit="1" customWidth="1"/>
    <col min="4" max="4" width="19" style="3" customWidth="1"/>
    <col min="5" max="5" width="19.85546875" style="3" bestFit="1" customWidth="1"/>
    <col min="6" max="6" width="17.28515625" style="4" customWidth="1"/>
    <col min="7" max="7" width="12.7109375" style="4" bestFit="1" customWidth="1"/>
    <col min="8" max="8" width="17.28515625" style="5" bestFit="1" customWidth="1"/>
    <col min="9" max="16384" width="9.140625" style="1"/>
  </cols>
  <sheetData>
    <row r="2" spans="2:8">
      <c r="E2" s="4"/>
    </row>
    <row r="3" spans="2:8" ht="26.25">
      <c r="B3" s="10" t="s">
        <v>2</v>
      </c>
      <c r="E3" s="3" t="b">
        <f ca="1">AND(TODAY()&gt;$G7, $C7&lt;&gt;Ayarlar!$B$11)</f>
        <v>1</v>
      </c>
    </row>
    <row r="6" spans="2:8">
      <c r="B6" s="11" t="s">
        <v>3</v>
      </c>
      <c r="C6" s="11" t="s">
        <v>4</v>
      </c>
      <c r="D6" s="11" t="s">
        <v>5</v>
      </c>
      <c r="E6" s="11" t="s">
        <v>6</v>
      </c>
      <c r="F6" s="12" t="s">
        <v>7</v>
      </c>
      <c r="G6" s="12" t="s">
        <v>8</v>
      </c>
      <c r="H6" s="13" t="s">
        <v>9</v>
      </c>
    </row>
    <row r="7" spans="2:8">
      <c r="B7" s="3" t="s">
        <v>10</v>
      </c>
      <c r="C7" s="3" t="s">
        <v>11</v>
      </c>
      <c r="D7" s="3" t="s">
        <v>12</v>
      </c>
      <c r="E7" s="3" t="str">
        <f>_xlfn.XLOOKUP(Tablo3[[#This Row],[Atanan kişi]],Tablo4[Ad Soyad],Tablo4[Rol],"")</f>
        <v>Proje Yöneticisi</v>
      </c>
      <c r="F7" s="4">
        <v>46219</v>
      </c>
      <c r="G7" s="4">
        <v>46225</v>
      </c>
      <c r="H7" s="5">
        <f>NETWORKDAYS(Tablo3[[#This Row],[Başlama Tarihi]],Tablo3[[#This Row],[Bitiş Tarihi]])</f>
        <v>5</v>
      </c>
    </row>
    <row r="8" spans="2:8">
      <c r="B8" s="3" t="s">
        <v>13</v>
      </c>
      <c r="C8" s="3" t="s">
        <v>14</v>
      </c>
      <c r="D8" s="3" t="s">
        <v>12</v>
      </c>
      <c r="E8" s="3" t="str">
        <f>_xlfn.XLOOKUP(Tablo3[[#This Row],[Atanan kişi]],Tablo4[Ad Soyad],Tablo4[Rol],"")</f>
        <v>Proje Yöneticisi</v>
      </c>
      <c r="F8" s="4">
        <v>46222</v>
      </c>
      <c r="G8" s="4">
        <v>46223</v>
      </c>
      <c r="H8" s="5">
        <f>NETWORKDAYS(Tablo3[[#This Row],[Başlama Tarihi]],Tablo3[[#This Row],[Bitiş Tarihi]])</f>
        <v>1</v>
      </c>
    </row>
    <row r="9" spans="2:8">
      <c r="B9" s="3" t="s">
        <v>15</v>
      </c>
      <c r="C9" s="3" t="s">
        <v>11</v>
      </c>
      <c r="D9" s="3" t="s">
        <v>16</v>
      </c>
      <c r="E9" s="3" t="str">
        <f>_xlfn.XLOOKUP(Tablo3[[#This Row],[Atanan kişi]],Tablo4[Ad Soyad],Tablo4[Rol],"")</f>
        <v>Help Desk Sorumlusu</v>
      </c>
      <c r="F9" s="4">
        <v>46229</v>
      </c>
      <c r="G9" s="4">
        <v>46233</v>
      </c>
      <c r="H9" s="5">
        <f>NETWORKDAYS(Tablo3[[#This Row],[Başlama Tarihi]],Tablo3[[#This Row],[Bitiş Tarihi]])</f>
        <v>4</v>
      </c>
    </row>
    <row r="10" spans="2:8">
      <c r="B10" s="3" t="s">
        <v>17</v>
      </c>
      <c r="C10" s="3" t="s">
        <v>18</v>
      </c>
      <c r="D10" s="3" t="s">
        <v>12</v>
      </c>
      <c r="E10" s="3" t="str">
        <f>_xlfn.XLOOKUP(Tablo3[[#This Row],[Atanan kişi]],Tablo4[Ad Soyad],Tablo4[Rol],"")</f>
        <v>Proje Yöneticisi</v>
      </c>
      <c r="F10" s="4">
        <v>46244</v>
      </c>
      <c r="G10" s="4">
        <v>46253</v>
      </c>
      <c r="H10" s="5">
        <f>NETWORKDAYS(Tablo3[[#This Row],[Başlama Tarihi]],Tablo3[[#This Row],[Bitiş Tarihi]])</f>
        <v>8</v>
      </c>
    </row>
    <row r="11" spans="2:8">
      <c r="B11" s="3" t="s">
        <v>19</v>
      </c>
      <c r="C11" s="3" t="s">
        <v>18</v>
      </c>
      <c r="D11" s="3" t="s">
        <v>20</v>
      </c>
      <c r="E11" s="3" t="str">
        <f>_xlfn.XLOOKUP(Tablo3[[#This Row],[Atanan kişi]],Tablo4[Ad Soyad],Tablo4[Rol],"")</f>
        <v>UI/UX Tasarımcısı</v>
      </c>
      <c r="F11" s="4">
        <v>46244</v>
      </c>
      <c r="G11" s="4">
        <v>46254</v>
      </c>
      <c r="H11" s="5">
        <f>NETWORKDAYS(Tablo3[[#This Row],[Başlama Tarihi]],Tablo3[[#This Row],[Bitiş Tarihi]])</f>
        <v>9</v>
      </c>
    </row>
    <row r="12" spans="2:8">
      <c r="B12" s="3" t="s">
        <v>21</v>
      </c>
      <c r="C12" s="3" t="s">
        <v>18</v>
      </c>
      <c r="D12" s="3" t="s">
        <v>20</v>
      </c>
      <c r="E12" s="3" t="str">
        <f>_xlfn.XLOOKUP(Tablo3[[#This Row],[Atanan kişi]],Tablo4[Ad Soyad],Tablo4[Rol],"")</f>
        <v>UI/UX Tasarımcısı</v>
      </c>
      <c r="F12" s="4">
        <v>46264</v>
      </c>
      <c r="G12" s="4">
        <v>46273</v>
      </c>
      <c r="H12" s="5">
        <f>NETWORKDAYS(Tablo3[[#This Row],[Başlama Tarihi]],Tablo3[[#This Row],[Bitiş Tarihi]])</f>
        <v>7</v>
      </c>
    </row>
    <row r="13" spans="2:8">
      <c r="B13" s="3" t="s">
        <v>22</v>
      </c>
      <c r="C13" s="3" t="s">
        <v>11</v>
      </c>
      <c r="D13" s="3" t="s">
        <v>12</v>
      </c>
      <c r="E13" s="3" t="str">
        <f>_xlfn.XLOOKUP(Tablo3[[#This Row],[Atanan kişi]],Tablo4[Ad Soyad],Tablo4[Rol],"")</f>
        <v>Proje Yöneticisi</v>
      </c>
      <c r="F13" s="4">
        <v>46282</v>
      </c>
      <c r="G13" s="4">
        <v>46286</v>
      </c>
      <c r="H13" s="5">
        <f>NETWORKDAYS(Tablo3[[#This Row],[Başlama Tarihi]],Tablo3[[#This Row],[Bitiş Tarihi]])</f>
        <v>3</v>
      </c>
    </row>
    <row r="14" spans="2:8">
      <c r="B14" s="3" t="s">
        <v>23</v>
      </c>
      <c r="C14" s="3" t="s">
        <v>11</v>
      </c>
      <c r="D14" s="3" t="s">
        <v>12</v>
      </c>
      <c r="E14" s="3" t="str">
        <f>_xlfn.XLOOKUP(Tablo3[[#This Row],[Atanan kişi]],Tablo4[Ad Soyad],Tablo4[Rol],"")</f>
        <v>Proje Yöneticisi</v>
      </c>
      <c r="F14" s="4">
        <v>46286</v>
      </c>
      <c r="G14" s="4">
        <v>46295</v>
      </c>
      <c r="H14" s="5">
        <f>NETWORKDAYS(Tablo3[[#This Row],[Başlama Tarihi]],Tablo3[[#This Row],[Bitiş Tarihi]])</f>
        <v>8</v>
      </c>
    </row>
    <row r="15" spans="2:8">
      <c r="B15" s="3" t="s">
        <v>24</v>
      </c>
      <c r="C15" s="3" t="s">
        <v>14</v>
      </c>
      <c r="D15" s="3" t="s">
        <v>25</v>
      </c>
      <c r="E15" s="3" t="str">
        <f>_xlfn.XLOOKUP(Tablo3[[#This Row],[Atanan kişi]],Tablo4[Ad Soyad],Tablo4[Rol],"")</f>
        <v>Test Sorumlusu</v>
      </c>
      <c r="F15" s="4">
        <v>46300</v>
      </c>
      <c r="G15" s="4">
        <v>46310</v>
      </c>
      <c r="H15" s="5">
        <f>NETWORKDAYS(Tablo3[[#This Row],[Başlama Tarihi]],Tablo3[[#This Row],[Bitiş Tarihi]])</f>
        <v>9</v>
      </c>
    </row>
    <row r="16" spans="2:8">
      <c r="B16" s="3" t="s">
        <v>26</v>
      </c>
      <c r="C16" s="3" t="s">
        <v>11</v>
      </c>
      <c r="D16" s="3" t="s">
        <v>25</v>
      </c>
      <c r="E16" s="3" t="str">
        <f>_xlfn.XLOOKUP(Tablo3[[#This Row],[Atanan kişi]],Tablo4[Ad Soyad],Tablo4[Rol],"")</f>
        <v>Test Sorumlusu</v>
      </c>
      <c r="F16" s="4">
        <v>46311</v>
      </c>
      <c r="G16" s="4">
        <v>46315</v>
      </c>
      <c r="H16" s="5">
        <f>NETWORKDAYS(Tablo3[[#This Row],[Başlama Tarihi]],Tablo3[[#This Row],[Bitiş Tarihi]])</f>
        <v>3</v>
      </c>
    </row>
    <row r="17" spans="2:8">
      <c r="B17" s="3" t="s">
        <v>27</v>
      </c>
      <c r="C17" s="3" t="s">
        <v>11</v>
      </c>
      <c r="D17" s="3" t="s">
        <v>12</v>
      </c>
      <c r="E17" s="3" t="str">
        <f>_xlfn.XLOOKUP(Tablo3[[#This Row],[Atanan kişi]],Tablo4[Ad Soyad],Tablo4[Rol],"")</f>
        <v>Proje Yöneticisi</v>
      </c>
      <c r="F17" s="4">
        <v>46316</v>
      </c>
      <c r="G17" s="4">
        <v>46316</v>
      </c>
      <c r="H17" s="5">
        <f>NETWORKDAYS(Tablo3[[#This Row],[Başlama Tarihi]],Tablo3[[#This Row],[Bitiş Tarihi]])</f>
        <v>1</v>
      </c>
    </row>
    <row r="18" spans="2:8">
      <c r="B18" s="3" t="s">
        <v>28</v>
      </c>
      <c r="C18" s="3" t="s">
        <v>18</v>
      </c>
      <c r="D18" s="3" t="s">
        <v>20</v>
      </c>
      <c r="E18" s="3" t="str">
        <f>_xlfn.XLOOKUP(Tablo3[[#This Row],[Atanan kişi]],Tablo4[Ad Soyad],Tablo4[Rol],"")</f>
        <v>UI/UX Tasarımcısı</v>
      </c>
      <c r="F18" s="4">
        <v>46285</v>
      </c>
      <c r="G18" s="4">
        <v>46292</v>
      </c>
      <c r="H18" s="5">
        <f>NETWORKDAYS(Tablo3[[#This Row],[Başlama Tarihi]],Tablo3[[#This Row],[Bitiş Tarihi]])</f>
        <v>5</v>
      </c>
    </row>
    <row r="19" spans="2:8">
      <c r="B19" s="2"/>
    </row>
    <row r="21" spans="2:8">
      <c r="C21" s="4"/>
    </row>
    <row r="26" spans="2:8">
      <c r="B26" s="6"/>
    </row>
    <row r="28" spans="2:8">
      <c r="B28" s="6"/>
    </row>
    <row r="29" spans="2:8">
      <c r="B29" s="2"/>
    </row>
    <row r="30" spans="2:8">
      <c r="B30" s="6"/>
    </row>
    <row r="31" spans="2:8">
      <c r="B31" s="7"/>
    </row>
    <row r="32" spans="2:8">
      <c r="B32" s="8"/>
    </row>
    <row r="33" spans="2:2">
      <c r="B33" s="7"/>
    </row>
  </sheetData>
  <dataValidations count="1">
    <dataValidation errorStyle="warning" allowBlank="1" showInputMessage="1" showErrorMessage="1" errorTitle="otomatik doldurulur" error=" " promptTitle="otomatik girilir" prompt=" " sqref="E7:E18" xr:uid="{57BBD5F1-C8DC-4CE3-B5FD-9BA3DC13FC06}"/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749B6A69-4912-4C51-93E3-E3128A692442}">
            <xm:f>AND(TODAY()&gt;$G7, $C7&lt;&gt;Ayarlar!$B$11)</xm:f>
            <x14:dxf>
              <fill>
                <patternFill>
                  <bgColor rgb="FFFFC7CE"/>
                </patternFill>
              </fill>
            </x14:dxf>
          </x14:cfRule>
          <xm:sqref>B7:H18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DDAA22-99DF-41F3-BD41-EDBC81BB9858}">
          <x14:formula1>
            <xm:f>Ayarlar!$B$9:$B$11</xm:f>
          </x14:formula1>
          <xm:sqref>C7:C18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5E24-5B71-4C57-BA91-5108ED1111D4}">
  <dimension ref="B3:C9"/>
  <sheetViews>
    <sheetView showGridLines="0" workbookViewId="0">
      <selection activeCell="B3" sqref="B3"/>
    </sheetView>
  </sheetViews>
  <sheetFormatPr defaultRowHeight="15"/>
  <cols>
    <col min="1" max="1" width="9.140625" style="1"/>
    <col min="2" max="2" width="14.28515625" style="1" customWidth="1"/>
    <col min="3" max="3" width="21" style="1" customWidth="1"/>
    <col min="4" max="4" width="16.28515625" style="1" customWidth="1"/>
    <col min="5" max="16384" width="9.140625" style="1"/>
  </cols>
  <sheetData>
    <row r="3" spans="2:3" ht="26.25">
      <c r="B3" s="14" t="s">
        <v>29</v>
      </c>
    </row>
    <row r="5" spans="2:3">
      <c r="B5" s="16" t="s">
        <v>30</v>
      </c>
      <c r="C5" s="16" t="s">
        <v>31</v>
      </c>
    </row>
    <row r="6" spans="2:3">
      <c r="B6" s="1" t="s">
        <v>12</v>
      </c>
      <c r="C6" s="1" t="s">
        <v>32</v>
      </c>
    </row>
    <row r="7" spans="2:3">
      <c r="B7" s="1" t="s">
        <v>20</v>
      </c>
      <c r="C7" s="1" t="s">
        <v>33</v>
      </c>
    </row>
    <row r="8" spans="2:3">
      <c r="B8" s="1" t="s">
        <v>25</v>
      </c>
      <c r="C8" s="1" t="s">
        <v>34</v>
      </c>
    </row>
    <row r="9" spans="2:3">
      <c r="B9" s="1" t="s">
        <v>16</v>
      </c>
      <c r="C9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9709-EA33-4E31-BF45-5A91C69F960C}">
  <dimension ref="B4:F12"/>
  <sheetViews>
    <sheetView showGridLines="0" workbookViewId="0">
      <selection activeCell="D16" sqref="D16"/>
    </sheetView>
  </sheetViews>
  <sheetFormatPr defaultRowHeight="15"/>
  <cols>
    <col min="1" max="1" width="9.140625" style="1"/>
    <col min="2" max="2" width="17.5703125" style="1" bestFit="1" customWidth="1"/>
    <col min="3" max="3" width="21.140625" style="1" customWidth="1"/>
    <col min="4" max="4" width="8.42578125" style="1" customWidth="1"/>
    <col min="5" max="5" width="24" style="1" customWidth="1"/>
    <col min="6" max="6" width="10.28515625" style="1" customWidth="1"/>
    <col min="7" max="16384" width="9.140625" style="1"/>
  </cols>
  <sheetData>
    <row r="4" spans="2:6" ht="26.25">
      <c r="B4" s="32" t="s">
        <v>36</v>
      </c>
    </row>
    <row r="8" spans="2:6">
      <c r="B8" s="15" t="s">
        <v>37</v>
      </c>
      <c r="C8" s="15" t="s">
        <v>38</v>
      </c>
      <c r="E8" s="9" t="s">
        <v>39</v>
      </c>
      <c r="F8" s="9">
        <f>COUNTA(Tablo3[Görev Adı])</f>
        <v>12</v>
      </c>
    </row>
    <row r="9" spans="2:6">
      <c r="B9" s="15" t="s">
        <v>11</v>
      </c>
      <c r="C9" s="31">
        <f>COUNTIF('Görevler '!C:C,Tablo5[[#This Row],[Durum]])</f>
        <v>6</v>
      </c>
      <c r="E9" s="18" t="s">
        <v>40</v>
      </c>
      <c r="F9" s="18"/>
    </row>
    <row r="10" spans="2:6">
      <c r="B10" s="15" t="s">
        <v>14</v>
      </c>
      <c r="C10" s="31">
        <f>COUNTIF('Görevler '!C:C,Tablo5[[#This Row],[Durum]])</f>
        <v>2</v>
      </c>
      <c r="E10" s="18" t="s">
        <v>41</v>
      </c>
      <c r="F10" s="18">
        <f ca="1">COUNTIFS(Tablo3[Durumu],"&lt;&gt;"&amp;Ayarlar!$B$11,Tablo3[Bitiş Tarihi],"&lt;"&amp;TODAY())</f>
        <v>5</v>
      </c>
    </row>
    <row r="11" spans="2:6">
      <c r="B11" s="15" t="s">
        <v>18</v>
      </c>
      <c r="C11" s="31">
        <f>COUNTIF('Görevler '!C:C,Tablo5[[#This Row],[Durum]])</f>
        <v>4</v>
      </c>
      <c r="E11" s="18" t="s">
        <v>42</v>
      </c>
      <c r="F11" s="20">
        <f>SUM(Tablo3[Toplam İş Günü])</f>
        <v>63</v>
      </c>
    </row>
    <row r="12" spans="2:6">
      <c r="E12" s="19" t="s">
        <v>43</v>
      </c>
      <c r="F12" s="19">
        <f>COUNTA(Tablo4[Ad Soyad])</f>
        <v>4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2026-09-30T13:31:45Z</dcterms:created>
  <dcterms:modified xsi:type="dcterms:W3CDTF">2026-10-04T19:59:51Z</dcterms:modified>
  <cp:category/>
  <cp:contentStatus/>
</cp:coreProperties>
</file>