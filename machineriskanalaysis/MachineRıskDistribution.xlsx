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402C13A0-5F5B-45CE-B226-DFBA5E408099}" xr6:coauthVersionLast="47" xr6:coauthVersionMax="47" xr10:uidLastSave="{00000000-0000-0000-0000-000000000000}"/>
  <bookViews>
    <workbookView xWindow="-108" yWindow="-108" windowWidth="23256" windowHeight="12456" xr2:uid="{7AEE312F-450B-4925-9106-C3DAD2888267}"/>
  </bookViews>
  <sheets>
    <sheet name="Pivot" sheetId="7" r:id="rId1"/>
    <sheet name="Data" sheetId="3" r:id="rId2"/>
  </sheets>
  <definedNames>
    <definedName name="ExternalData_1" localSheetId="1" hidden="1">Data!$J$1:$J$49</definedName>
    <definedName name="Slicer_Date">#N/A</definedName>
    <definedName name="Slicer_Failure">#N/A</definedName>
    <definedName name="Slicer_Machine_ID">#N/A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ED1F7-9896-4A21-B69E-73CA305AF3E0}" keepAlive="1" name="Query - 2 1" description="Connection to the '2 1' query in the workbook." type="5" refreshedVersion="8" background="1" saveData="1">
    <dbPr connection="Provider=Microsoft.Mashup.OleDb.1;Data Source=$Workbook$;Location=&quot;2 1&quot;;Extended Properties=&quot;&quot;" command="SELECT * FROM [2 1]"/>
  </connection>
</connections>
</file>

<file path=xl/sharedStrings.xml><?xml version="1.0" encoding="utf-8"?>
<sst xmlns="http://schemas.openxmlformats.org/spreadsheetml/2006/main" count="88" uniqueCount="29">
  <si>
    <t>Machine_ID</t>
  </si>
  <si>
    <t>Date</t>
  </si>
  <si>
    <t>Vibration</t>
  </si>
  <si>
    <t>Temperature</t>
  </si>
  <si>
    <t>RPM</t>
  </si>
  <si>
    <t>Load</t>
  </si>
  <si>
    <t>Pressure</t>
  </si>
  <si>
    <t>Humidity</t>
  </si>
  <si>
    <t>Energy_Consumption</t>
  </si>
  <si>
    <t>Failure</t>
  </si>
  <si>
    <t>M1</t>
  </si>
  <si>
    <t>M2</t>
  </si>
  <si>
    <t>M3</t>
  </si>
  <si>
    <t>M4</t>
  </si>
  <si>
    <t>M5</t>
  </si>
  <si>
    <t>M6</t>
  </si>
  <si>
    <t>M7</t>
  </si>
  <si>
    <t>M8</t>
  </si>
  <si>
    <t>Row Labels</t>
  </si>
  <si>
    <t>Grand Total</t>
  </si>
  <si>
    <t>Rısk</t>
  </si>
  <si>
    <t>HIGH</t>
  </si>
  <si>
    <t>LOW</t>
  </si>
  <si>
    <t>Count of Rısk</t>
  </si>
  <si>
    <t>Column Labels</t>
  </si>
  <si>
    <t>Total Count of Rısk</t>
  </si>
  <si>
    <t>Total Average of Vibration</t>
  </si>
  <si>
    <t>Average of Vibration</t>
  </si>
  <si>
    <t>HIGH Count of Rısk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</si>
</sst>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4" x14ac:knownFonts="1">
    <font>
      <sz val="11"/>
      <color theme="1"/>
      <name val="Aptos Narrow"/>
      <family val="2"/>
      <charset val="162"/>
      <scheme val="minor"/>
    </font>
    <font>
      <sz val="8"/>
      <name val="Aptos Narrow"/>
      <family val="2"/>
      <charset val="162"/>
      <scheme val="minor"/>
    </font>
    <font>
      <sz val="11"/>
      <color theme="1"/>
      <name val="Aptos Narrow"/>
      <family val="2"/>
      <charset val="162"/>
      <scheme val="minor"/>
    </font>
    <font>
      <b/>
      <sz val="11"/>
      <color theme="1"/>
      <name val="Aptos Narrow"/>
      <family val="2"/>
      <charset val="162"/>
      <scheme val="minor"/>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2" fontId="0" fillId="0" borderId="0" xfId="0" applyNumberFormat="1"/>
    <xf numFmtId="1" fontId="0" fillId="0" borderId="0" xfId="1" applyNumberFormat="1" applyFont="1" applyAlignment="1"/>
    <xf numFmtId="1" fontId="0" fillId="0" borderId="0" xfId="1" applyNumberFormat="1" applyFont="1" applyAlignment="1">
      <alignment horizontal="center" vertical="center"/>
    </xf>
    <xf numFmtId="0" fontId="0" fillId="0" borderId="0" xfId="0" applyNumberFormat="1" applyAlignment="1">
      <alignment horizontal="center" vertical="center"/>
    </xf>
    <xf numFmtId="164" fontId="0" fillId="0" borderId="0" xfId="0" applyNumberFormat="1" applyAlignment="1">
      <alignment horizontal="center" vertical="center"/>
    </xf>
    <xf numFmtId="0" fontId="0" fillId="2" borderId="0" xfId="0" applyFill="1"/>
    <xf numFmtId="0" fontId="0" fillId="2" borderId="0" xfId="0" applyFill="1" applyAlignment="1">
      <alignment horizontal="center" vertical="center"/>
    </xf>
    <xf numFmtId="0" fontId="0" fillId="2" borderId="0" xfId="0" applyNumberFormat="1" applyFill="1" applyAlignment="1">
      <alignment horizontal="center" vertical="center"/>
    </xf>
    <xf numFmtId="0" fontId="3" fillId="3" borderId="1" xfId="0" applyFont="1" applyFill="1" applyBorder="1" applyAlignment="1">
      <alignment horizontal="center" vertical="center"/>
    </xf>
    <xf numFmtId="0" fontId="0" fillId="4" borderId="2" xfId="0" applyFill="1" applyBorder="1" applyAlignment="1">
      <alignment horizontal="center" vertical="center"/>
    </xf>
    <xf numFmtId="0" fontId="0" fillId="4" borderId="2" xfId="0" applyNumberFormat="1" applyFill="1" applyBorder="1" applyAlignment="1">
      <alignment horizontal="center" vertical="center"/>
    </xf>
  </cellXfs>
  <cellStyles count="2">
    <cellStyle name="Comma" xfId="1" builtinId="3"/>
    <cellStyle name="Normal" xfId="0" builtinId="0"/>
  </cellStyles>
  <dxfs count="58">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dxf>
    <dxf>
      <numFmt numFmtId="0" formatCode="General"/>
      <fill>
        <patternFill>
          <bgColor theme="0"/>
        </patternFill>
      </fill>
      <alignment horizontal="center" vertical="center" textRotation="0" wrapText="0" indent="0" justifyLastLine="0" shrinkToFit="0" readingOrder="0"/>
    </dxf>
    <dxf>
      <fill>
        <patternFill>
          <bgColor theme="0"/>
        </patternFill>
      </fill>
      <alignment horizontal="center" vertical="center" textRotation="0" wrapText="0" indent="0" justifyLastLine="0" shrinkToFit="0" readingOrder="0"/>
    </dxf>
    <dxf>
      <fill>
        <patternFill>
          <bgColor theme="0"/>
        </patternFill>
      </fill>
    </dxf>
    <dxf>
      <border outline="0">
        <bottom style="thin">
          <color theme="4" tint="0.39997558519241921"/>
        </bottom>
      </border>
    </dxf>
    <dxf>
      <font>
        <b/>
        <i val="0"/>
        <strike val="0"/>
        <condense val="0"/>
        <extend val="0"/>
        <outline val="0"/>
        <shadow val="0"/>
        <u val="none"/>
        <vertAlign val="baseline"/>
        <sz val="11"/>
        <color theme="1"/>
        <name val="Aptos Narrow"/>
        <family val="2"/>
        <charset val="162"/>
        <scheme val="minor"/>
      </font>
      <fill>
        <patternFill patternType="solid">
          <fgColor theme="4" tint="0.79998168889431442"/>
          <bgColor theme="0"/>
        </patternFill>
      </fill>
      <alignment horizontal="center" vertical="center" textRotation="0" wrapText="0" indent="0" justifyLastLine="0" shrinkToFit="0" readingOrder="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vertical="center"/>
    </dxf>
  </dxfs>
  <tableStyles count="0" defaultTableStyle="TableStyleMedium2" defaultPivotStyle="PivotStyleLight16"/>
  <colors>
    <mruColors>
      <color rgb="FFE20000"/>
      <color rgb="FFFA98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9385115223768384"/>
          <c:y val="5.376344086021505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tr-TR"/>
        </a:p>
      </c:txPr>
    </c:title>
    <c:autoTitleDeleted val="0"/>
    <c:plotArea>
      <c:layout/>
      <c:barChart>
        <c:barDir val="col"/>
        <c:grouping val="clustered"/>
        <c:varyColors val="0"/>
        <c:ser>
          <c:idx val="0"/>
          <c:order val="0"/>
          <c:tx>
            <c:strRef>
              <c:f>Pivot!$B$20</c:f>
              <c:strCache>
                <c:ptCount val="1"/>
                <c:pt idx="0">
                  <c:v>HIGH Count of Rısk</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Pivot!$A$21:$A$28</c:f>
              <c:strCache>
                <c:ptCount val="8"/>
                <c:pt idx="0">
                  <c:v>M1</c:v>
                </c:pt>
                <c:pt idx="1">
                  <c:v>M2</c:v>
                </c:pt>
                <c:pt idx="2">
                  <c:v>M3</c:v>
                </c:pt>
                <c:pt idx="3">
                  <c:v>M4</c:v>
                </c:pt>
                <c:pt idx="4">
                  <c:v>M5</c:v>
                </c:pt>
                <c:pt idx="5">
                  <c:v>M6</c:v>
                </c:pt>
                <c:pt idx="6">
                  <c:v>M7</c:v>
                </c:pt>
                <c:pt idx="7">
                  <c:v>M8</c:v>
                </c:pt>
              </c:strCache>
            </c:strRef>
          </c:cat>
          <c:val>
            <c:numRef>
              <c:f>Pivot!$B$21:$B$28</c:f>
              <c:numCache>
                <c:formatCode>General</c:formatCode>
                <c:ptCount val="8"/>
                <c:pt idx="0">
                  <c:v>2</c:v>
                </c:pt>
                <c:pt idx="1">
                  <c:v>1</c:v>
                </c:pt>
                <c:pt idx="2">
                  <c:v>2</c:v>
                </c:pt>
                <c:pt idx="3">
                  <c:v>2</c:v>
                </c:pt>
                <c:pt idx="4">
                  <c:v>1</c:v>
                </c:pt>
                <c:pt idx="5">
                  <c:v>2</c:v>
                </c:pt>
                <c:pt idx="6">
                  <c:v>2</c:v>
                </c:pt>
                <c:pt idx="7">
                  <c:v>2</c:v>
                </c:pt>
              </c:numCache>
            </c:numRef>
          </c:val>
          <c:extLst>
            <c:ext xmlns:c16="http://schemas.microsoft.com/office/drawing/2014/chart" uri="{C3380CC4-5D6E-409C-BE32-E72D297353CC}">
              <c16:uniqueId val="{00000000-BB76-485B-B236-708AE5F33992}"/>
            </c:ext>
          </c:extLst>
        </c:ser>
        <c:dLbls>
          <c:dLblPos val="inEnd"/>
          <c:showLegendKey val="0"/>
          <c:showVal val="1"/>
          <c:showCatName val="0"/>
          <c:showSerName val="0"/>
          <c:showPercent val="0"/>
          <c:showBubbleSize val="0"/>
        </c:dLbls>
        <c:gapWidth val="41"/>
        <c:axId val="1240043008"/>
        <c:axId val="1240050208"/>
      </c:barChart>
      <c:catAx>
        <c:axId val="124004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tr-TR"/>
          </a:p>
        </c:txPr>
        <c:crossAx val="1240050208"/>
        <c:crosses val="autoZero"/>
        <c:auto val="1"/>
        <c:lblAlgn val="ctr"/>
        <c:lblOffset val="100"/>
        <c:noMultiLvlLbl val="0"/>
      </c:catAx>
      <c:valAx>
        <c:axId val="1240050208"/>
        <c:scaling>
          <c:orientation val="minMax"/>
        </c:scaling>
        <c:delete val="1"/>
        <c:axPos val="l"/>
        <c:numFmt formatCode="General" sourceLinked="1"/>
        <c:majorTickMark val="none"/>
        <c:minorTickMark val="none"/>
        <c:tickLblPos val="nextTo"/>
        <c:crossAx val="124004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289560</xdr:colOff>
      <xdr:row>18</xdr:row>
      <xdr:rowOff>167640</xdr:rowOff>
    </xdr:from>
    <xdr:to>
      <xdr:col>5</xdr:col>
      <xdr:colOff>274320</xdr:colOff>
      <xdr:row>28</xdr:row>
      <xdr:rowOff>30480</xdr:rowOff>
    </xdr:to>
    <xdr:graphicFrame macro="">
      <xdr:nvGraphicFramePr>
        <xdr:cNvPr id="4" name="Chart 3">
          <a:extLst>
            <a:ext uri="{FF2B5EF4-FFF2-40B4-BE49-F238E27FC236}">
              <a16:creationId xmlns:a16="http://schemas.microsoft.com/office/drawing/2014/main" id="{49B1C1E5-5DEB-CB10-CAE1-FE0DAA860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152400</xdr:colOff>
      <xdr:row>4</xdr:row>
      <xdr:rowOff>7621</xdr:rowOff>
    </xdr:from>
    <xdr:to>
      <xdr:col>9</xdr:col>
      <xdr:colOff>1150620</xdr:colOff>
      <xdr:row>9</xdr:row>
      <xdr:rowOff>22860</xdr:rowOff>
    </xdr:to>
    <mc:AlternateContent xmlns:mc="http://schemas.openxmlformats.org/markup-compatibility/2006" xmlns:a14="http://schemas.microsoft.com/office/drawing/2010/main">
      <mc:Choice Requires="a14">
        <xdr:graphicFrame macro="">
          <xdr:nvGraphicFramePr>
            <xdr:cNvPr id="5" name="Machine_ID">
              <a:extLst>
                <a:ext uri="{FF2B5EF4-FFF2-40B4-BE49-F238E27FC236}">
                  <a16:creationId xmlns:a16="http://schemas.microsoft.com/office/drawing/2014/main" id="{655BCC30-69CC-BF74-CFA7-B5445EB7226C}"/>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mlns="">
        <xdr:sp macro="" textlink="">
          <xdr:nvSpPr>
            <xdr:cNvPr id="0" name=""/>
            <xdr:cNvSpPr>
              <a:spLocks noTextEdit="1"/>
            </xdr:cNvSpPr>
          </xdr:nvSpPr>
          <xdr:spPr>
            <a:xfrm>
              <a:off x="8846820" y="739141"/>
              <a:ext cx="1828800" cy="929639"/>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21</xdr:row>
      <xdr:rowOff>53341</xdr:rowOff>
    </xdr:from>
    <xdr:to>
      <xdr:col>9</xdr:col>
      <xdr:colOff>1150620</xdr:colOff>
      <xdr:row>26</xdr:row>
      <xdr:rowOff>99061</xdr:rowOff>
    </xdr:to>
    <mc:AlternateContent xmlns:mc="http://schemas.openxmlformats.org/markup-compatibility/2006" xmlns:a14="http://schemas.microsoft.com/office/drawing/2010/main">
      <mc:Choice Requires="a14">
        <xdr:graphicFrame macro="">
          <xdr:nvGraphicFramePr>
            <xdr:cNvPr id="6" name="Failure">
              <a:extLst>
                <a:ext uri="{FF2B5EF4-FFF2-40B4-BE49-F238E27FC236}">
                  <a16:creationId xmlns:a16="http://schemas.microsoft.com/office/drawing/2014/main" id="{4B1E246C-3EBE-3A3C-ABB0-E7EF6AC026D5}"/>
                </a:ext>
              </a:extLst>
            </xdr:cNvPr>
            <xdr:cNvGraphicFramePr/>
          </xdr:nvGraphicFramePr>
          <xdr:xfrm>
            <a:off x="0" y="0"/>
            <a:ext cx="0" cy="0"/>
          </xdr:xfrm>
          <a:graphic>
            <a:graphicData uri="http://schemas.microsoft.com/office/drawing/2010/slicer">
              <sle:slicer xmlns:sle="http://schemas.microsoft.com/office/drawing/2010/slicer" name="Failure"/>
            </a:graphicData>
          </a:graphic>
        </xdr:graphicFrame>
      </mc:Choice>
      <mc:Fallback xmlns="">
        <xdr:sp macro="" textlink="">
          <xdr:nvSpPr>
            <xdr:cNvPr id="0" name=""/>
            <xdr:cNvSpPr>
              <a:spLocks noTextEdit="1"/>
            </xdr:cNvSpPr>
          </xdr:nvSpPr>
          <xdr:spPr>
            <a:xfrm>
              <a:off x="8846820" y="3893821"/>
              <a:ext cx="1828800" cy="96012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144780</xdr:colOff>
      <xdr:row>9</xdr:row>
      <xdr:rowOff>83821</xdr:rowOff>
    </xdr:from>
    <xdr:to>
      <xdr:col>9</xdr:col>
      <xdr:colOff>1150620</xdr:colOff>
      <xdr:row>20</xdr:row>
      <xdr:rowOff>160021</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66004F85-9EB0-11A3-FECD-0E181237572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839200" y="1729741"/>
              <a:ext cx="1836420" cy="208788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1028700</xdr:colOff>
      <xdr:row>0</xdr:row>
      <xdr:rowOff>114300</xdr:rowOff>
    </xdr:from>
    <xdr:to>
      <xdr:col>5</xdr:col>
      <xdr:colOff>152400</xdr:colOff>
      <xdr:row>2</xdr:row>
      <xdr:rowOff>144780</xdr:rowOff>
    </xdr:to>
    <xdr:sp macro="" textlink="">
      <xdr:nvSpPr>
        <xdr:cNvPr id="8" name="TextBox 7">
          <a:extLst>
            <a:ext uri="{FF2B5EF4-FFF2-40B4-BE49-F238E27FC236}">
              <a16:creationId xmlns:a16="http://schemas.microsoft.com/office/drawing/2014/main" id="{65D6E9A5-B973-446C-B6E2-CE382E9118F6}"/>
            </a:ext>
          </a:extLst>
        </xdr:cNvPr>
        <xdr:cNvSpPr txBox="1"/>
      </xdr:nvSpPr>
      <xdr:spPr>
        <a:xfrm>
          <a:off x="2034540" y="114300"/>
          <a:ext cx="3566160" cy="39624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700" b="1"/>
            <a:t>Machine Risk Distribution</a:t>
          </a:r>
          <a:endParaRPr lang="tr-TR" sz="1700"/>
        </a:p>
      </xdr:txBody>
    </xdr:sp>
    <xdr:clientData/>
  </xdr:twoCellAnchor>
  <xdr:twoCellAnchor>
    <xdr:from>
      <xdr:col>6</xdr:col>
      <xdr:colOff>678180</xdr:colOff>
      <xdr:row>20</xdr:row>
      <xdr:rowOff>129540</xdr:rowOff>
    </xdr:from>
    <xdr:to>
      <xdr:col>6</xdr:col>
      <xdr:colOff>1074420</xdr:colOff>
      <xdr:row>23</xdr:row>
      <xdr:rowOff>0</xdr:rowOff>
    </xdr:to>
    <xdr:sp macro="" textlink="B16">
      <xdr:nvSpPr>
        <xdr:cNvPr id="11" name="TextBox 10">
          <a:extLst>
            <a:ext uri="{FF2B5EF4-FFF2-40B4-BE49-F238E27FC236}">
              <a16:creationId xmlns:a16="http://schemas.microsoft.com/office/drawing/2014/main" id="{73ABB378-A72F-B19D-CE0E-5B9F59B48439}"/>
            </a:ext>
          </a:extLst>
        </xdr:cNvPr>
        <xdr:cNvSpPr txBox="1"/>
      </xdr:nvSpPr>
      <xdr:spPr>
        <a:xfrm>
          <a:off x="7239000" y="3787140"/>
          <a:ext cx="396240" cy="419100"/>
        </a:xfrm>
        <a:prstGeom prst="rect">
          <a:avLst/>
        </a:prstGeom>
        <a:solidFill>
          <a:srgbClr val="E2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193642-0538-4669-AD61-D7E6961C6719}" type="TxLink">
            <a:rPr lang="en-US" sz="1600" b="1" i="0" u="none" strike="noStrike">
              <a:solidFill>
                <a:srgbClr val="000000"/>
              </a:solidFill>
              <a:latin typeface="Aptos Narrow"/>
            </a:rPr>
            <a:pPr algn="ctr"/>
            <a:t>14</a:t>
          </a:fld>
          <a:endParaRPr lang="tr-TR" sz="1600" b="1"/>
        </a:p>
      </xdr:txBody>
    </xdr:sp>
    <xdr:clientData/>
  </xdr:twoCellAnchor>
  <xdr:twoCellAnchor>
    <xdr:from>
      <xdr:col>6</xdr:col>
      <xdr:colOff>685800</xdr:colOff>
      <xdr:row>24</xdr:row>
      <xdr:rowOff>0</xdr:rowOff>
    </xdr:from>
    <xdr:to>
      <xdr:col>6</xdr:col>
      <xdr:colOff>1082040</xdr:colOff>
      <xdr:row>26</xdr:row>
      <xdr:rowOff>53340</xdr:rowOff>
    </xdr:to>
    <xdr:sp macro="" textlink="D16">
      <xdr:nvSpPr>
        <xdr:cNvPr id="12" name="TextBox 11">
          <a:extLst>
            <a:ext uri="{FF2B5EF4-FFF2-40B4-BE49-F238E27FC236}">
              <a16:creationId xmlns:a16="http://schemas.microsoft.com/office/drawing/2014/main" id="{3017CA62-A8E6-4B79-91AC-954E66090C57}"/>
            </a:ext>
          </a:extLst>
        </xdr:cNvPr>
        <xdr:cNvSpPr txBox="1"/>
      </xdr:nvSpPr>
      <xdr:spPr>
        <a:xfrm>
          <a:off x="7246620" y="4389120"/>
          <a:ext cx="396240" cy="41910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4766A5-12D7-4F5C-98E6-F6A6A8247FD4}" type="TxLink">
            <a:rPr lang="en-US" sz="1400" b="1" i="0" u="none" strike="noStrike">
              <a:solidFill>
                <a:srgbClr val="000000"/>
              </a:solidFill>
              <a:latin typeface="Aptos Narrow"/>
            </a:rPr>
            <a:pPr algn="ctr"/>
            <a:t>34</a:t>
          </a:fld>
          <a:endParaRPr lang="tr-TR" sz="1400" b="1"/>
        </a:p>
      </xdr:txBody>
    </xdr:sp>
    <xdr:clientData/>
  </xdr:twoCellAnchor>
  <xdr:twoCellAnchor>
    <xdr:from>
      <xdr:col>5</xdr:col>
      <xdr:colOff>624840</xdr:colOff>
      <xdr:row>20</xdr:row>
      <xdr:rowOff>137160</xdr:rowOff>
    </xdr:from>
    <xdr:to>
      <xdr:col>6</xdr:col>
      <xdr:colOff>464820</xdr:colOff>
      <xdr:row>23</xdr:row>
      <xdr:rowOff>7620</xdr:rowOff>
    </xdr:to>
    <xdr:sp macro="" textlink="">
      <xdr:nvSpPr>
        <xdr:cNvPr id="14" name="TextBox 13">
          <a:extLst>
            <a:ext uri="{FF2B5EF4-FFF2-40B4-BE49-F238E27FC236}">
              <a16:creationId xmlns:a16="http://schemas.microsoft.com/office/drawing/2014/main" id="{ADFB6FAB-08DE-679F-1C60-248D8D628E82}"/>
            </a:ext>
          </a:extLst>
        </xdr:cNvPr>
        <xdr:cNvSpPr txBox="1"/>
      </xdr:nvSpPr>
      <xdr:spPr>
        <a:xfrm>
          <a:off x="6073140" y="3794760"/>
          <a:ext cx="952500" cy="419100"/>
        </a:xfrm>
        <a:prstGeom prst="rect">
          <a:avLst/>
        </a:prstGeom>
        <a:solidFill>
          <a:srgbClr val="E2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600" b="1"/>
            <a:t>HIGH</a:t>
          </a:r>
        </a:p>
      </xdr:txBody>
    </xdr:sp>
    <xdr:clientData/>
  </xdr:twoCellAnchor>
  <xdr:twoCellAnchor>
    <xdr:from>
      <xdr:col>5</xdr:col>
      <xdr:colOff>632460</xdr:colOff>
      <xdr:row>24</xdr:row>
      <xdr:rowOff>7620</xdr:rowOff>
    </xdr:from>
    <xdr:to>
      <xdr:col>6</xdr:col>
      <xdr:colOff>472440</xdr:colOff>
      <xdr:row>26</xdr:row>
      <xdr:rowOff>53340</xdr:rowOff>
    </xdr:to>
    <xdr:sp macro="" textlink="">
      <xdr:nvSpPr>
        <xdr:cNvPr id="15" name="TextBox 14">
          <a:extLst>
            <a:ext uri="{FF2B5EF4-FFF2-40B4-BE49-F238E27FC236}">
              <a16:creationId xmlns:a16="http://schemas.microsoft.com/office/drawing/2014/main" id="{32365FF2-23D2-46D8-9463-0DF09AFA07DB}"/>
            </a:ext>
          </a:extLst>
        </xdr:cNvPr>
        <xdr:cNvSpPr txBox="1"/>
      </xdr:nvSpPr>
      <xdr:spPr>
        <a:xfrm>
          <a:off x="6080760" y="4396740"/>
          <a:ext cx="952500" cy="41148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600" b="1"/>
            <a:t>LOW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8.481859490741" createdVersion="8" refreshedVersion="8" minRefreshableVersion="3" recordCount="48" xr:uid="{6E3ACB34-71D8-4E23-BD5B-4BD68EE146A0}">
  <cacheSource type="worksheet">
    <worksheetSource ref="A1:K49" sheet="Data"/>
  </cacheSource>
  <cacheFields count="11">
    <cacheField name="Machine_ID" numFmtId="0">
      <sharedItems count="8">
        <s v="M1"/>
        <s v="M2"/>
        <s v="M3"/>
        <s v="M4"/>
        <s v="M5"/>
        <s v="M6"/>
        <s v="M7"/>
        <s v="M8"/>
      </sharedItems>
    </cacheField>
    <cacheField name="Date" numFmtId="14">
      <sharedItems containsSemiMixedTypes="0" containsNonDate="0" containsDate="1" containsString="0" minDate="2025-01-01T00:00:00" maxDate="2025-01-07T00:00:00" count="6">
        <d v="2025-01-01T00:00:00"/>
        <d v="2025-01-02T00:00:00"/>
        <d v="2025-01-03T00:00:00"/>
        <d v="2025-01-04T00:00:00"/>
        <d v="2025-01-05T00:00:00"/>
        <d v="2025-01-06T00:00:00"/>
      </sharedItems>
    </cacheField>
    <cacheField name="Temperature" numFmtId="1">
      <sharedItems containsSemiMixedTypes="0" containsString="0" containsNumber="1" containsInteger="1" minValue="40" maxValue="67"/>
    </cacheField>
    <cacheField name="RPM" numFmtId="0">
      <sharedItems containsSemiMixedTypes="0" containsString="0" containsNumber="1" containsInteger="1" minValue="1400" maxValue="1700"/>
    </cacheField>
    <cacheField name="Load" numFmtId="0">
      <sharedItems containsSemiMixedTypes="0" containsString="0" containsNumber="1" containsInteger="1" minValue="50" maxValue="95"/>
    </cacheField>
    <cacheField name="Pressure" numFmtId="0">
      <sharedItems containsSemiMixedTypes="0" containsString="0" containsNumber="1" containsInteger="1" minValue="25" maxValue="55"/>
    </cacheField>
    <cacheField name="Humidity" numFmtId="0">
      <sharedItems containsSemiMixedTypes="0" containsString="0" containsNumber="1" containsInteger="1" minValue="35" maxValue="58"/>
    </cacheField>
    <cacheField name="Energy_Consumption" numFmtId="0">
      <sharedItems containsSemiMixedTypes="0" containsString="0" containsNumber="1" containsInteger="1" minValue="100" maxValue="230"/>
    </cacheField>
    <cacheField name="Failure" numFmtId="0">
      <sharedItems containsSemiMixedTypes="0" containsString="0" containsNumber="1" containsInteger="1" minValue="0" maxValue="1" count="2">
        <n v="0"/>
        <n v="1"/>
      </sharedItems>
    </cacheField>
    <cacheField name="Vibration" numFmtId="164">
      <sharedItems containsSemiMixedTypes="0" containsString="0" containsNumber="1" minValue="1.5" maxValue="4.3"/>
    </cacheField>
    <cacheField name="Rısk" numFmtId="0">
      <sharedItems count="2">
        <s v="LOW"/>
        <s v="HIGH"/>
      </sharedItems>
    </cacheField>
  </cacheFields>
  <extLst>
    <ext xmlns:x14="http://schemas.microsoft.com/office/spreadsheetml/2009/9/main" uri="{725AE2AE-9491-48be-B2B4-4EB974FC3084}">
      <x14:pivotCacheDefinition pivotCacheId="658081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45"/>
    <n v="1500"/>
    <n v="60"/>
    <n v="30"/>
    <n v="40"/>
    <n v="120"/>
    <x v="0"/>
    <n v="2.1"/>
    <x v="0"/>
  </r>
  <r>
    <x v="0"/>
    <x v="1"/>
    <n v="46"/>
    <n v="1510"/>
    <n v="62"/>
    <n v="32"/>
    <n v="42"/>
    <n v="125"/>
    <x v="0"/>
    <n v="2.2999999999999998"/>
    <x v="0"/>
  </r>
  <r>
    <x v="0"/>
    <x v="2"/>
    <n v="61"/>
    <n v="1600"/>
    <n v="85"/>
    <n v="45"/>
    <n v="50"/>
    <n v="180"/>
    <x v="1"/>
    <n v="3.9"/>
    <x v="1"/>
  </r>
  <r>
    <x v="0"/>
    <x v="3"/>
    <n v="44"/>
    <n v="1490"/>
    <n v="58"/>
    <n v="29"/>
    <n v="38"/>
    <n v="118"/>
    <x v="0"/>
    <n v="2"/>
    <x v="0"/>
  </r>
  <r>
    <x v="0"/>
    <x v="4"/>
    <n v="65"/>
    <n v="1650"/>
    <n v="90"/>
    <n v="50"/>
    <n v="55"/>
    <n v="200"/>
    <x v="1"/>
    <n v="4.2"/>
    <x v="1"/>
  </r>
  <r>
    <x v="0"/>
    <x v="5"/>
    <n v="47"/>
    <n v="1520"/>
    <n v="63"/>
    <n v="33"/>
    <n v="43"/>
    <n v="128"/>
    <x v="0"/>
    <n v="2.4"/>
    <x v="0"/>
  </r>
  <r>
    <x v="1"/>
    <x v="0"/>
    <n v="40"/>
    <n v="1400"/>
    <n v="50"/>
    <n v="25"/>
    <n v="35"/>
    <n v="100"/>
    <x v="0"/>
    <n v="1.5"/>
    <x v="0"/>
  </r>
  <r>
    <x v="1"/>
    <x v="1"/>
    <n v="42"/>
    <n v="1420"/>
    <n v="55"/>
    <n v="28"/>
    <n v="37"/>
    <n v="105"/>
    <x v="0"/>
    <n v="1.7"/>
    <x v="0"/>
  </r>
  <r>
    <x v="1"/>
    <x v="2"/>
    <n v="55"/>
    <n v="1550"/>
    <n v="78"/>
    <n v="40"/>
    <n v="48"/>
    <n v="160"/>
    <x v="1"/>
    <n v="2.8"/>
    <x v="0"/>
  </r>
  <r>
    <x v="1"/>
    <x v="3"/>
    <n v="41"/>
    <n v="1410"/>
    <n v="52"/>
    <n v="26"/>
    <n v="36"/>
    <n v="102"/>
    <x v="0"/>
    <n v="1.6"/>
    <x v="0"/>
  </r>
  <r>
    <x v="1"/>
    <x v="4"/>
    <n v="58"/>
    <n v="1580"/>
    <n v="82"/>
    <n v="42"/>
    <n v="49"/>
    <n v="170"/>
    <x v="1"/>
    <n v="3.1"/>
    <x v="1"/>
  </r>
  <r>
    <x v="1"/>
    <x v="5"/>
    <n v="43"/>
    <n v="1430"/>
    <n v="56"/>
    <n v="29"/>
    <n v="38"/>
    <n v="108"/>
    <x v="0"/>
    <n v="1.8"/>
    <x v="0"/>
  </r>
  <r>
    <x v="2"/>
    <x v="0"/>
    <n v="44"/>
    <n v="1480"/>
    <n v="57"/>
    <n v="30"/>
    <n v="39"/>
    <n v="115"/>
    <x v="0"/>
    <n v="2"/>
    <x v="0"/>
  </r>
  <r>
    <x v="2"/>
    <x v="1"/>
    <n v="46"/>
    <n v="1500"/>
    <n v="60"/>
    <n v="32"/>
    <n v="41"/>
    <n v="120"/>
    <x v="0"/>
    <n v="2.2000000000000002"/>
    <x v="0"/>
  </r>
  <r>
    <x v="2"/>
    <x v="2"/>
    <n v="60"/>
    <n v="1620"/>
    <n v="88"/>
    <n v="47"/>
    <n v="52"/>
    <n v="185"/>
    <x v="1"/>
    <n v="3.5"/>
    <x v="1"/>
  </r>
  <r>
    <x v="2"/>
    <x v="3"/>
    <n v="45"/>
    <n v="1495"/>
    <n v="58"/>
    <n v="31"/>
    <n v="40"/>
    <n v="118"/>
    <x v="0"/>
    <n v="2.1"/>
    <x v="0"/>
  </r>
  <r>
    <x v="2"/>
    <x v="4"/>
    <n v="64"/>
    <n v="1670"/>
    <n v="92"/>
    <n v="51"/>
    <n v="54"/>
    <n v="210"/>
    <x v="1"/>
    <n v="4"/>
    <x v="1"/>
  </r>
  <r>
    <x v="2"/>
    <x v="5"/>
    <n v="47"/>
    <n v="1510"/>
    <n v="62"/>
    <n v="33"/>
    <n v="42"/>
    <n v="125"/>
    <x v="0"/>
    <n v="2.2999999999999998"/>
    <x v="0"/>
  </r>
  <r>
    <x v="3"/>
    <x v="0"/>
    <n v="43"/>
    <n v="1470"/>
    <n v="55"/>
    <n v="28"/>
    <n v="37"/>
    <n v="110"/>
    <x v="0"/>
    <n v="1.9"/>
    <x v="0"/>
  </r>
  <r>
    <x v="3"/>
    <x v="1"/>
    <n v="45"/>
    <n v="1490"/>
    <n v="58"/>
    <n v="30"/>
    <n v="39"/>
    <n v="115"/>
    <x v="0"/>
    <n v="2.1"/>
    <x v="0"/>
  </r>
  <r>
    <x v="3"/>
    <x v="2"/>
    <n v="59"/>
    <n v="1610"/>
    <n v="87"/>
    <n v="46"/>
    <n v="51"/>
    <n v="180"/>
    <x v="1"/>
    <n v="3.6"/>
    <x v="1"/>
  </r>
  <r>
    <x v="3"/>
    <x v="3"/>
    <n v="44"/>
    <n v="1480"/>
    <n v="56"/>
    <n v="29"/>
    <n v="38"/>
    <n v="112"/>
    <x v="0"/>
    <n v="2"/>
    <x v="0"/>
  </r>
  <r>
    <x v="3"/>
    <x v="4"/>
    <n v="66"/>
    <n v="1680"/>
    <n v="93"/>
    <n v="52"/>
    <n v="56"/>
    <n v="220"/>
    <x v="1"/>
    <n v="4.0999999999999996"/>
    <x v="1"/>
  </r>
  <r>
    <x v="3"/>
    <x v="5"/>
    <n v="46"/>
    <n v="1505"/>
    <n v="60"/>
    <n v="31"/>
    <n v="40"/>
    <n v="120"/>
    <x v="0"/>
    <n v="2.2000000000000002"/>
    <x v="0"/>
  </r>
  <r>
    <x v="4"/>
    <x v="0"/>
    <n v="41"/>
    <n v="1420"/>
    <n v="52"/>
    <n v="26"/>
    <n v="36"/>
    <n v="105"/>
    <x v="0"/>
    <n v="1.6"/>
    <x v="0"/>
  </r>
  <r>
    <x v="4"/>
    <x v="1"/>
    <n v="43"/>
    <n v="1440"/>
    <n v="55"/>
    <n v="28"/>
    <n v="38"/>
    <n v="110"/>
    <x v="0"/>
    <n v="1.8"/>
    <x v="0"/>
  </r>
  <r>
    <x v="4"/>
    <x v="2"/>
    <n v="57"/>
    <n v="1570"/>
    <n v="80"/>
    <n v="42"/>
    <n v="49"/>
    <n v="165"/>
    <x v="1"/>
    <n v="3"/>
    <x v="0"/>
  </r>
  <r>
    <x v="4"/>
    <x v="3"/>
    <n v="42"/>
    <n v="1430"/>
    <n v="53"/>
    <n v="27"/>
    <n v="37"/>
    <n v="108"/>
    <x v="0"/>
    <n v="1.7"/>
    <x v="0"/>
  </r>
  <r>
    <x v="4"/>
    <x v="4"/>
    <n v="62"/>
    <n v="1640"/>
    <n v="90"/>
    <n v="50"/>
    <n v="54"/>
    <n v="200"/>
    <x v="1"/>
    <n v="3.8"/>
    <x v="1"/>
  </r>
  <r>
    <x v="4"/>
    <x v="5"/>
    <n v="44"/>
    <n v="1450"/>
    <n v="57"/>
    <n v="29"/>
    <n v="39"/>
    <n v="112"/>
    <x v="0"/>
    <n v="1.9"/>
    <x v="0"/>
  </r>
  <r>
    <x v="5"/>
    <x v="0"/>
    <n v="46"/>
    <n v="1500"/>
    <n v="60"/>
    <n v="30"/>
    <n v="40"/>
    <n v="120"/>
    <x v="0"/>
    <n v="2.2000000000000002"/>
    <x v="0"/>
  </r>
  <r>
    <x v="5"/>
    <x v="1"/>
    <n v="48"/>
    <n v="1530"/>
    <n v="65"/>
    <n v="33"/>
    <n v="42"/>
    <n v="130"/>
    <x v="0"/>
    <n v="2.5"/>
    <x v="0"/>
  </r>
  <r>
    <x v="5"/>
    <x v="2"/>
    <n v="61"/>
    <n v="1620"/>
    <n v="85"/>
    <n v="45"/>
    <n v="50"/>
    <n v="190"/>
    <x v="1"/>
    <n v="3.7"/>
    <x v="1"/>
  </r>
  <r>
    <x v="5"/>
    <x v="3"/>
    <n v="47"/>
    <n v="1510"/>
    <n v="62"/>
    <n v="31"/>
    <n v="41"/>
    <n v="125"/>
    <x v="0"/>
    <n v="2.2999999999999998"/>
    <x v="0"/>
  </r>
  <r>
    <x v="5"/>
    <x v="4"/>
    <n v="67"/>
    <n v="1700"/>
    <n v="95"/>
    <n v="55"/>
    <n v="58"/>
    <n v="230"/>
    <x v="1"/>
    <n v="4.3"/>
    <x v="1"/>
  </r>
  <r>
    <x v="5"/>
    <x v="5"/>
    <n v="49"/>
    <n v="1540"/>
    <n v="66"/>
    <n v="34"/>
    <n v="43"/>
    <n v="135"/>
    <x v="0"/>
    <n v="2.4"/>
    <x v="0"/>
  </r>
  <r>
    <x v="6"/>
    <x v="0"/>
    <n v="42"/>
    <n v="1430"/>
    <n v="53"/>
    <n v="27"/>
    <n v="37"/>
    <n v="108"/>
    <x v="0"/>
    <n v="1.7"/>
    <x v="0"/>
  </r>
  <r>
    <x v="6"/>
    <x v="1"/>
    <n v="44"/>
    <n v="1450"/>
    <n v="56"/>
    <n v="29"/>
    <n v="39"/>
    <n v="112"/>
    <x v="0"/>
    <n v="1.9"/>
    <x v="0"/>
  </r>
  <r>
    <x v="6"/>
    <x v="2"/>
    <n v="58"/>
    <n v="1590"/>
    <n v="82"/>
    <n v="43"/>
    <n v="50"/>
    <n v="175"/>
    <x v="1"/>
    <n v="3.2"/>
    <x v="1"/>
  </r>
  <r>
    <x v="6"/>
    <x v="3"/>
    <n v="43"/>
    <n v="1440"/>
    <n v="54"/>
    <n v="28"/>
    <n v="38"/>
    <n v="110"/>
    <x v="0"/>
    <n v="1.8"/>
    <x v="0"/>
  </r>
  <r>
    <x v="6"/>
    <x v="4"/>
    <n v="63"/>
    <n v="1660"/>
    <n v="91"/>
    <n v="51"/>
    <n v="55"/>
    <n v="210"/>
    <x v="1"/>
    <n v="3.9"/>
    <x v="1"/>
  </r>
  <r>
    <x v="6"/>
    <x v="5"/>
    <n v="45"/>
    <n v="1460"/>
    <n v="58"/>
    <n v="30"/>
    <n v="40"/>
    <n v="115"/>
    <x v="0"/>
    <n v="2"/>
    <x v="0"/>
  </r>
  <r>
    <x v="7"/>
    <x v="0"/>
    <n v="44"/>
    <n v="1480"/>
    <n v="57"/>
    <n v="29"/>
    <n v="38"/>
    <n v="115"/>
    <x v="0"/>
    <n v="2"/>
    <x v="0"/>
  </r>
  <r>
    <x v="7"/>
    <x v="1"/>
    <n v="46"/>
    <n v="1500"/>
    <n v="60"/>
    <n v="31"/>
    <n v="40"/>
    <n v="120"/>
    <x v="0"/>
    <n v="2.2999999999999998"/>
    <x v="0"/>
  </r>
  <r>
    <x v="7"/>
    <x v="2"/>
    <n v="60"/>
    <n v="1610"/>
    <n v="86"/>
    <n v="46"/>
    <n v="52"/>
    <n v="185"/>
    <x v="1"/>
    <n v="3.6"/>
    <x v="1"/>
  </r>
  <r>
    <x v="7"/>
    <x v="3"/>
    <n v="45"/>
    <n v="1490"/>
    <n v="58"/>
    <n v="30"/>
    <n v="39"/>
    <n v="118"/>
    <x v="0"/>
    <n v="2.1"/>
    <x v="0"/>
  </r>
  <r>
    <x v="7"/>
    <x v="4"/>
    <n v="66"/>
    <n v="1690"/>
    <n v="94"/>
    <n v="53"/>
    <n v="57"/>
    <n v="225"/>
    <x v="1"/>
    <n v="4.2"/>
    <x v="1"/>
  </r>
  <r>
    <x v="7"/>
    <x v="5"/>
    <n v="47"/>
    <n v="1520"/>
    <n v="63"/>
    <n v="32"/>
    <n v="41"/>
    <n v="125"/>
    <x v="0"/>
    <n v="2.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324DA8-558A-4DD7-A9E1-0E5A48088D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G16" firstHeaderRow="1" firstDataRow="3" firstDataCol="1"/>
  <pivotFields count="11">
    <pivotField axis="axisRow" showAll="0">
      <items count="9">
        <item x="0"/>
        <item x="1"/>
        <item x="2"/>
        <item x="3"/>
        <item x="4"/>
        <item x="5"/>
        <item x="6"/>
        <item x="7"/>
        <item t="default"/>
      </items>
    </pivotField>
    <pivotField numFmtId="14" showAll="0">
      <items count="7">
        <item x="0"/>
        <item x="1"/>
        <item x="2"/>
        <item x="3"/>
        <item x="4"/>
        <item x="5"/>
        <item t="default"/>
      </items>
    </pivotField>
    <pivotField numFmtId="1" showAll="0"/>
    <pivotField showAll="0"/>
    <pivotField showAll="0"/>
    <pivotField showAll="0"/>
    <pivotField showAll="0"/>
    <pivotField showAll="0"/>
    <pivotField showAll="0">
      <items count="3">
        <item x="0"/>
        <item x="1"/>
        <item t="default"/>
      </items>
    </pivotField>
    <pivotField dataField="1" numFmtId="164" showAll="0"/>
    <pivotField axis="axisCol" dataField="1" showAll="0">
      <items count="3">
        <item x="1"/>
        <item x="0"/>
        <item t="default"/>
      </items>
    </pivotField>
  </pivotFields>
  <rowFields count="1">
    <field x="0"/>
  </rowFields>
  <rowItems count="9">
    <i>
      <x/>
    </i>
    <i>
      <x v="1"/>
    </i>
    <i>
      <x v="2"/>
    </i>
    <i>
      <x v="3"/>
    </i>
    <i>
      <x v="4"/>
    </i>
    <i>
      <x v="5"/>
    </i>
    <i>
      <x v="6"/>
    </i>
    <i>
      <x v="7"/>
    </i>
    <i t="grand">
      <x/>
    </i>
  </rowItems>
  <colFields count="2">
    <field x="10"/>
    <field x="-2"/>
  </colFields>
  <colItems count="6">
    <i>
      <x/>
      <x/>
    </i>
    <i r="1" i="1">
      <x v="1"/>
    </i>
    <i>
      <x v="1"/>
      <x/>
    </i>
    <i r="1" i="1">
      <x v="1"/>
    </i>
    <i t="grand">
      <x/>
    </i>
    <i t="grand" i="1">
      <x/>
    </i>
  </colItems>
  <dataFields count="2">
    <dataField name="Count of Rısk" fld="10" subtotal="count" baseField="0" baseItem="0"/>
    <dataField name="Average of Vibration" fld="9" subtotal="average" baseField="0" baseItem="0"/>
  </dataFields>
  <formats count="31">
    <format dxfId="57">
      <pivotArea type="all" dataOnly="0" outline="0" fieldPosition="0"/>
    </format>
    <format dxfId="56">
      <pivotArea type="all" dataOnly="0"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0" type="button" dataOnly="0" labelOnly="1" outline="0" axis="axisCol" fieldPosition="0"/>
    </format>
    <format dxfId="51">
      <pivotArea field="-2" type="button" dataOnly="0" labelOnly="1" outline="0" axis="axisCol" fieldPosition="1"/>
    </format>
    <format dxfId="50">
      <pivotArea type="topRight" dataOnly="0" labelOnly="1" outline="0"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fieldPosition="0">
        <references count="1">
          <reference field="10" count="0"/>
        </references>
      </pivotArea>
    </format>
    <format dxfId="45">
      <pivotArea field="10" dataOnly="0" labelOnly="1" grandCol="1" outline="0" axis="axisCol" fieldPosition="0">
        <references count="1">
          <reference field="4294967294" count="1" selected="0">
            <x v="0"/>
          </reference>
        </references>
      </pivotArea>
    </format>
    <format dxfId="44">
      <pivotArea field="10" dataOnly="0" labelOnly="1" grandCol="1" outline="0" axis="axisCol" fieldPosition="0">
        <references count="1">
          <reference field="4294967294" count="1" selected="0">
            <x v="1"/>
          </reference>
        </references>
      </pivotArea>
    </format>
    <format dxfId="43">
      <pivotArea dataOnly="0" labelOnly="1" outline="0" fieldPosition="0">
        <references count="2">
          <reference field="4294967294" count="2">
            <x v="0"/>
            <x v="1"/>
          </reference>
          <reference field="10" count="1" selected="0">
            <x v="0"/>
          </reference>
        </references>
      </pivotArea>
    </format>
    <format dxfId="42">
      <pivotArea dataOnly="0" labelOnly="1" outline="0" fieldPosition="0">
        <references count="2">
          <reference field="4294967294" count="2">
            <x v="0"/>
            <x v="1"/>
          </reference>
          <reference field="10" count="1" selected="0">
            <x v="1"/>
          </reference>
        </references>
      </pivotArea>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10" type="button" dataOnly="0" labelOnly="1" outline="0" axis="axisCol" fieldPosition="0"/>
    </format>
    <format dxfId="12">
      <pivotArea field="-2" type="button" dataOnly="0" labelOnly="1" outline="0" axis="axisCol" fieldPosition="1"/>
    </format>
    <format dxfId="11">
      <pivotArea type="topRight" dataOnly="0" labelOnly="1" outline="0"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fieldPosition="0">
        <references count="1">
          <reference field="10" count="0"/>
        </references>
      </pivotArea>
    </format>
    <format dxfId="6">
      <pivotArea field="10" dataOnly="0" labelOnly="1" grandCol="1" outline="0" axis="axisCol" fieldPosition="0">
        <references count="1">
          <reference field="4294967294" count="1" selected="0">
            <x v="0"/>
          </reference>
        </references>
      </pivotArea>
    </format>
    <format dxfId="4">
      <pivotArea field="10" dataOnly="0" labelOnly="1" grandCol="1" outline="0" axis="axisCol" fieldPosition="0">
        <references count="1">
          <reference field="4294967294" count="1" selected="0">
            <x v="1"/>
          </reference>
        </references>
      </pivotArea>
    </format>
    <format dxfId="2">
      <pivotArea dataOnly="0" labelOnly="1" outline="0" fieldPosition="0">
        <references count="2">
          <reference field="4294967294" count="2">
            <x v="0"/>
            <x v="1"/>
          </reference>
          <reference field="10" count="1" selected="0">
            <x v="0"/>
          </reference>
        </references>
      </pivotArea>
    </format>
    <format dxfId="1">
      <pivotArea dataOnly="0" labelOnly="1" outline="0" fieldPosition="0">
        <references count="2">
          <reference field="4294967294" count="2">
            <x v="0"/>
            <x v="1"/>
          </reference>
          <reference field="10" count="1" selected="0">
            <x v="1"/>
          </reference>
        </references>
      </pivotArea>
    </format>
    <format dxfId="0">
      <pivotArea type="all" dataOnly="0" outline="0" fieldPosition="0"/>
    </format>
  </formats>
  <pivotTableStyleInfo name="PivotStyleMedium2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37251D-685A-4C58-BB1A-DF38ED69E5B3}" autoFormatId="16" applyNumberFormats="0" applyBorderFormats="0" applyFontFormats="0" applyPatternFormats="0" applyAlignmentFormats="0" applyWidthHeightFormats="0">
  <queryTableRefresh nextId="3">
    <queryTableFields count="1">
      <queryTableField id="1" name="Column1"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49B9DBD2-DA69-4EE1-918A-C378F143B438}" sourceName="Machine_ID">
  <pivotTables>
    <pivotTable tabId="7" name="PivotTable3"/>
  </pivotTables>
  <data>
    <tabular pivotCacheId="658081127">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lure" xr10:uid="{E9058313-C934-469C-ADC1-12942EE19BA5}" sourceName="Failure">
  <pivotTables>
    <pivotTable tabId="7" name="PivotTable3"/>
  </pivotTables>
  <data>
    <tabular pivotCacheId="6580811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F862971-E392-4F0D-8809-7EBAA25B47EF}" sourceName="Date">
  <pivotTables>
    <pivotTable tabId="7" name="PivotTable3"/>
  </pivotTables>
  <data>
    <tabular pivotCacheId="658081127">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_ID" xr10:uid="{C08CEB0B-0A20-46C6-A030-009A966D07CE}" cache="Slicer_Machine_ID" caption="Machine_ID" columnCount="4" rowHeight="247650"/>
  <slicer name="Failure" xr10:uid="{D39AA6C4-A490-4B47-9E88-7A9BAC0B34EC}" cache="Slicer_Failure" caption="Failure" rowHeight="247650"/>
  <slicer name="Date" xr10:uid="{107D0621-6C30-47CD-AFF4-9D94F4F259F2}" cache="Slicer_Date" caption="Date"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7A7D4C-E93C-4A6D-8516-F1CD9884D0AC}" name="Table5" displayName="Table5" ref="A20:B28" totalsRowShown="0" headerRowDxfId="41" dataDxfId="39" headerRowBorderDxfId="40">
  <autoFilter ref="A20:B28" xr:uid="{047A7D4C-E93C-4A6D-8516-F1CD9884D0AC}"/>
  <tableColumns count="2">
    <tableColumn id="1" xr3:uid="{65130FC4-A438-4FDA-BBC0-9EDA7787AE52}" name="Row Labels" dataDxfId="38"/>
    <tableColumn id="2" xr3:uid="{F4DAD7B3-957C-4F76-A72A-DBAD57705448}" name="HIGH Count of Rısk" dataDxfId="37"/>
  </tableColumns>
  <tableStyleInfo name="TableStyleMedium23"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EB996F-52FD-4119-9CB7-F8F8AC1E9D86}" name="_2_1" displayName="_2_1" ref="J1:J49" tableType="queryTable" totalsRowShown="0" headerRowDxfId="36" dataDxfId="35">
  <autoFilter ref="J1:J49" xr:uid="{30EB996F-52FD-4119-9CB7-F8F8AC1E9D86}"/>
  <tableColumns count="1">
    <tableColumn id="1" xr3:uid="{F622188A-621B-470C-BB31-C1BB65C2B67A}" uniqueName="1" name="Vibration" queryTableFieldId="1" dataDxfId="3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D1EF2D-2917-4C49-8495-64E66F1CA13B}" name="Table14" displayName="Table14" ref="A1:I49" totalsRowShown="0" headerRowDxfId="33" dataDxfId="32">
  <autoFilter ref="A1:I49" xr:uid="{78D1EF2D-2917-4C49-8495-64E66F1CA13B}"/>
  <tableColumns count="9">
    <tableColumn id="1" xr3:uid="{C4EF5D85-419D-4255-B516-4660EB785FD1}" name="Machine_ID" dataDxfId="31"/>
    <tableColumn id="2" xr3:uid="{D39F8A7E-CFCF-4137-969B-66D763BD8B64}" name="Date" dataDxfId="30"/>
    <tableColumn id="4" xr3:uid="{665B8DE1-D54C-43CC-9081-45CEB67A8F09}" name="Temperature" dataDxfId="29" dataCellStyle="Comma"/>
    <tableColumn id="5" xr3:uid="{7DE0A800-B02B-460E-B936-321B3051339E}" name="RPM" dataDxfId="28"/>
    <tableColumn id="6" xr3:uid="{F47F9418-42C5-4B92-8A84-F367D5E0DA94}" name="Load" dataDxfId="27"/>
    <tableColumn id="7" xr3:uid="{91155420-48CB-4686-8363-83E9170FD0F8}" name="Pressure" dataDxfId="26"/>
    <tableColumn id="8" xr3:uid="{D047C5B1-FCB2-46B7-B07E-6D7C62563D9F}" name="Humidity" dataDxfId="25"/>
    <tableColumn id="9" xr3:uid="{B113401D-879E-4E31-9E51-87A81A1EF2B6}" name="Energy_Consumption" dataDxfId="24"/>
    <tableColumn id="10" xr3:uid="{2F1E46F2-F8EF-4E7F-93AE-6620B4212F4E}" name="Failure" dataDxfId="2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D460D-EAB3-41D7-8D6A-4729AC0A3480}" name="Table4" displayName="Table4" ref="K1:K49" totalsRowShown="0" dataDxfId="22">
  <autoFilter ref="K1:K49" xr:uid="{184D460D-EAB3-41D7-8D6A-4729AC0A3480}"/>
  <tableColumns count="1">
    <tableColumn id="3" xr3:uid="{7B8386F5-FFA0-441D-9A97-378655753431}" name="Rısk" dataDxfId="21">
      <calculatedColumnFormula>IF(OR(_2_1[[#This Row],[Vibration]]&gt;3,Table14[[#This Row],[Temperature]]&gt;60),"HIGH","LOW")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7CD4-A7A4-4B31-A5D5-CBDFE396A3B0}">
  <dimension ref="A1:S35"/>
  <sheetViews>
    <sheetView tabSelected="1" workbookViewId="0">
      <selection activeCell="F4" sqref="F4"/>
    </sheetView>
  </sheetViews>
  <sheetFormatPr defaultRowHeight="14.4" x14ac:dyDescent="0.3"/>
  <cols>
    <col min="1" max="1" width="14.6640625" bestFit="1" customWidth="1"/>
    <col min="2" max="2" width="17.77734375" bestFit="1" customWidth="1"/>
    <col min="3" max="3" width="17.6640625" bestFit="1" customWidth="1"/>
    <col min="4" max="4" width="11.6640625" bestFit="1" customWidth="1"/>
    <col min="5" max="5" width="17.6640625" bestFit="1" customWidth="1"/>
    <col min="6" max="6" width="16.21875" bestFit="1" customWidth="1"/>
    <col min="7" max="7" width="22.21875" bestFit="1" customWidth="1"/>
    <col min="9" max="9" width="12.109375" customWidth="1"/>
    <col min="10" max="10" width="18.44140625" customWidth="1"/>
    <col min="11" max="11" width="17.77734375" customWidth="1"/>
    <col min="12" max="13" width="8.88671875" customWidth="1"/>
  </cols>
  <sheetData>
    <row r="1" spans="1:19" x14ac:dyDescent="0.3">
      <c r="A1" s="8"/>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row r="5" spans="1:19" x14ac:dyDescent="0.3">
      <c r="A5" s="12"/>
      <c r="B5" s="12" t="s">
        <v>24</v>
      </c>
      <c r="C5" s="12"/>
      <c r="D5" s="12"/>
      <c r="E5" s="12"/>
      <c r="F5" s="12"/>
      <c r="G5" s="12"/>
      <c r="H5" s="8"/>
      <c r="I5" s="8"/>
      <c r="J5" s="8"/>
      <c r="K5" s="8"/>
      <c r="L5" s="8"/>
      <c r="M5" s="8"/>
      <c r="N5" s="8"/>
      <c r="O5" s="8"/>
      <c r="P5" s="8"/>
      <c r="Q5" s="8"/>
      <c r="R5" s="8"/>
      <c r="S5" s="8"/>
    </row>
    <row r="6" spans="1:19" x14ac:dyDescent="0.3">
      <c r="A6" s="12"/>
      <c r="B6" s="12" t="s">
        <v>21</v>
      </c>
      <c r="C6" s="12"/>
      <c r="D6" s="12" t="s">
        <v>22</v>
      </c>
      <c r="E6" s="12"/>
      <c r="F6" s="12" t="s">
        <v>25</v>
      </c>
      <c r="G6" s="12" t="s">
        <v>26</v>
      </c>
      <c r="H6" s="8"/>
      <c r="I6" s="8"/>
      <c r="J6" s="8"/>
      <c r="K6" s="8"/>
      <c r="L6" s="8"/>
      <c r="M6" s="8"/>
      <c r="N6" s="8"/>
      <c r="O6" s="8"/>
      <c r="P6" s="8"/>
      <c r="Q6" s="8"/>
      <c r="R6" s="8"/>
      <c r="S6" s="8"/>
    </row>
    <row r="7" spans="1:19" x14ac:dyDescent="0.3">
      <c r="A7" s="12" t="s">
        <v>18</v>
      </c>
      <c r="B7" s="12" t="s">
        <v>23</v>
      </c>
      <c r="C7" s="12" t="s">
        <v>27</v>
      </c>
      <c r="D7" s="12" t="s">
        <v>23</v>
      </c>
      <c r="E7" s="12" t="s">
        <v>27</v>
      </c>
      <c r="F7" s="12"/>
      <c r="G7" s="12"/>
      <c r="H7" s="8"/>
      <c r="I7" s="8"/>
      <c r="J7" s="8"/>
      <c r="K7" s="8"/>
      <c r="L7" s="8"/>
      <c r="M7" s="8"/>
      <c r="N7" s="8"/>
      <c r="O7" s="8"/>
      <c r="P7" s="8"/>
      <c r="Q7" s="8"/>
      <c r="R7" s="8"/>
      <c r="S7" s="8"/>
    </row>
    <row r="8" spans="1:19" x14ac:dyDescent="0.3">
      <c r="A8" s="12" t="s">
        <v>10</v>
      </c>
      <c r="B8" s="13">
        <v>2</v>
      </c>
      <c r="C8" s="13">
        <v>4.05</v>
      </c>
      <c r="D8" s="13">
        <v>4</v>
      </c>
      <c r="E8" s="13">
        <v>2.2000000000000002</v>
      </c>
      <c r="F8" s="13">
        <v>6</v>
      </c>
      <c r="G8" s="13">
        <v>2.8166666666666664</v>
      </c>
      <c r="H8" s="8"/>
      <c r="I8" s="8"/>
      <c r="J8" s="8"/>
      <c r="K8" s="8"/>
      <c r="L8" s="8"/>
      <c r="M8" s="8"/>
      <c r="N8" s="8"/>
      <c r="O8" s="8"/>
      <c r="P8" s="8"/>
      <c r="Q8" s="8"/>
      <c r="R8" s="8"/>
      <c r="S8" s="8"/>
    </row>
    <row r="9" spans="1:19" x14ac:dyDescent="0.3">
      <c r="A9" s="12" t="s">
        <v>11</v>
      </c>
      <c r="B9" s="13">
        <v>1</v>
      </c>
      <c r="C9" s="13">
        <v>3.1</v>
      </c>
      <c r="D9" s="13">
        <v>5</v>
      </c>
      <c r="E9" s="13">
        <v>1.8800000000000001</v>
      </c>
      <c r="F9" s="13">
        <v>6</v>
      </c>
      <c r="G9" s="13">
        <v>2.0833333333333335</v>
      </c>
      <c r="H9" s="8"/>
      <c r="I9" s="8"/>
      <c r="J9" s="8"/>
      <c r="K9" s="8"/>
      <c r="L9" s="8"/>
      <c r="M9" s="8"/>
      <c r="N9" s="8"/>
      <c r="O9" s="8"/>
      <c r="P9" s="8"/>
      <c r="Q9" s="8"/>
      <c r="R9" s="8"/>
      <c r="S9" s="8"/>
    </row>
    <row r="10" spans="1:19" x14ac:dyDescent="0.3">
      <c r="A10" s="12" t="s">
        <v>12</v>
      </c>
      <c r="B10" s="13">
        <v>2</v>
      </c>
      <c r="C10" s="13">
        <v>3.75</v>
      </c>
      <c r="D10" s="13">
        <v>4</v>
      </c>
      <c r="E10" s="13">
        <v>2.1500000000000004</v>
      </c>
      <c r="F10" s="13">
        <v>6</v>
      </c>
      <c r="G10" s="13">
        <v>2.6833333333333331</v>
      </c>
      <c r="H10" s="8"/>
      <c r="I10" s="8"/>
      <c r="J10" s="8"/>
      <c r="K10" s="8"/>
      <c r="L10" s="8"/>
      <c r="M10" s="8"/>
      <c r="N10" s="8"/>
      <c r="O10" s="8"/>
      <c r="P10" s="8"/>
      <c r="Q10" s="8"/>
      <c r="R10" s="8"/>
      <c r="S10" s="8"/>
    </row>
    <row r="11" spans="1:19" x14ac:dyDescent="0.3">
      <c r="A11" s="12" t="s">
        <v>13</v>
      </c>
      <c r="B11" s="13">
        <v>2</v>
      </c>
      <c r="C11" s="13">
        <v>3.8499999999999996</v>
      </c>
      <c r="D11" s="13">
        <v>4</v>
      </c>
      <c r="E11" s="13">
        <v>2.0499999999999998</v>
      </c>
      <c r="F11" s="13">
        <v>6</v>
      </c>
      <c r="G11" s="13">
        <v>2.65</v>
      </c>
      <c r="H11" s="8"/>
      <c r="I11" s="8"/>
      <c r="J11" s="8"/>
      <c r="K11" s="8"/>
      <c r="L11" s="8"/>
      <c r="M11" s="8"/>
      <c r="N11" s="8"/>
      <c r="O11" s="8"/>
      <c r="P11" s="8"/>
      <c r="Q11" s="8"/>
      <c r="R11" s="8"/>
      <c r="S11" s="8"/>
    </row>
    <row r="12" spans="1:19" x14ac:dyDescent="0.3">
      <c r="A12" s="12" t="s">
        <v>14</v>
      </c>
      <c r="B12" s="13">
        <v>1</v>
      </c>
      <c r="C12" s="13">
        <v>3.8</v>
      </c>
      <c r="D12" s="13">
        <v>5</v>
      </c>
      <c r="E12" s="13">
        <v>2</v>
      </c>
      <c r="F12" s="13">
        <v>6</v>
      </c>
      <c r="G12" s="13">
        <v>2.2999999999999998</v>
      </c>
      <c r="H12" s="8"/>
      <c r="I12" s="8"/>
      <c r="J12" s="8"/>
      <c r="K12" s="8"/>
      <c r="L12" s="8"/>
      <c r="M12" s="8"/>
      <c r="N12" s="8"/>
      <c r="O12" s="8"/>
      <c r="P12" s="8"/>
      <c r="Q12" s="8"/>
      <c r="R12" s="8"/>
      <c r="S12" s="8"/>
    </row>
    <row r="13" spans="1:19" x14ac:dyDescent="0.3">
      <c r="A13" s="12" t="s">
        <v>15</v>
      </c>
      <c r="B13" s="13">
        <v>2</v>
      </c>
      <c r="C13" s="13">
        <v>4</v>
      </c>
      <c r="D13" s="13">
        <v>4</v>
      </c>
      <c r="E13" s="13">
        <v>2.35</v>
      </c>
      <c r="F13" s="13">
        <v>6</v>
      </c>
      <c r="G13" s="13">
        <v>2.9</v>
      </c>
      <c r="H13" s="8"/>
      <c r="I13" s="8"/>
      <c r="J13" s="8"/>
      <c r="K13" s="8"/>
      <c r="L13" s="8"/>
      <c r="M13" s="8"/>
      <c r="N13" s="8"/>
      <c r="O13" s="8"/>
      <c r="P13" s="8"/>
      <c r="Q13" s="8"/>
      <c r="R13" s="8"/>
      <c r="S13" s="8"/>
    </row>
    <row r="14" spans="1:19" x14ac:dyDescent="0.3">
      <c r="A14" s="12" t="s">
        <v>16</v>
      </c>
      <c r="B14" s="13">
        <v>2</v>
      </c>
      <c r="C14" s="13">
        <v>3.55</v>
      </c>
      <c r="D14" s="13">
        <v>4</v>
      </c>
      <c r="E14" s="13">
        <v>1.8499999999999999</v>
      </c>
      <c r="F14" s="13">
        <v>6</v>
      </c>
      <c r="G14" s="13">
        <v>2.4166666666666665</v>
      </c>
      <c r="H14" s="8"/>
      <c r="I14" s="8"/>
      <c r="J14" s="8"/>
      <c r="K14" s="8"/>
      <c r="L14" s="8"/>
      <c r="M14" s="8"/>
      <c r="N14" s="8"/>
      <c r="O14" s="8"/>
      <c r="P14" s="8"/>
      <c r="Q14" s="8"/>
      <c r="R14" s="8"/>
      <c r="S14" s="8"/>
    </row>
    <row r="15" spans="1:19" x14ac:dyDescent="0.3">
      <c r="A15" s="12" t="s">
        <v>17</v>
      </c>
      <c r="B15" s="13">
        <v>2</v>
      </c>
      <c r="C15" s="13">
        <v>3.9000000000000004</v>
      </c>
      <c r="D15" s="13">
        <v>4</v>
      </c>
      <c r="E15" s="13">
        <v>2.2000000000000002</v>
      </c>
      <c r="F15" s="13">
        <v>6</v>
      </c>
      <c r="G15" s="13">
        <v>2.7666666666666671</v>
      </c>
      <c r="H15" s="8"/>
      <c r="I15" s="8"/>
      <c r="J15" s="8"/>
      <c r="K15" s="8"/>
      <c r="L15" s="8"/>
      <c r="M15" s="8"/>
      <c r="N15" s="8"/>
      <c r="O15" s="8"/>
      <c r="P15" s="8"/>
      <c r="Q15" s="8"/>
      <c r="R15" s="8"/>
      <c r="S15" s="8"/>
    </row>
    <row r="16" spans="1:19" x14ac:dyDescent="0.3">
      <c r="A16" s="12" t="s">
        <v>19</v>
      </c>
      <c r="B16" s="13">
        <v>14</v>
      </c>
      <c r="C16" s="13">
        <v>3.7928571428571431</v>
      </c>
      <c r="D16" s="13">
        <v>34</v>
      </c>
      <c r="E16" s="13">
        <v>2.0764705882352943</v>
      </c>
      <c r="F16" s="13">
        <v>48</v>
      </c>
      <c r="G16" s="13">
        <v>2.5770833333333329</v>
      </c>
      <c r="H16" s="8"/>
      <c r="I16" s="8"/>
      <c r="J16" s="8"/>
      <c r="K16" s="8"/>
      <c r="L16" s="8"/>
      <c r="M16" s="8"/>
      <c r="N16" s="8"/>
      <c r="O16" s="8"/>
      <c r="P16" s="8"/>
      <c r="Q16" s="8"/>
      <c r="R16" s="8"/>
      <c r="S16" s="8"/>
    </row>
    <row r="17" spans="1:19" x14ac:dyDescent="0.3">
      <c r="A17" s="8"/>
      <c r="B17" s="8"/>
      <c r="C17" s="8"/>
      <c r="D17" s="8"/>
      <c r="E17" s="8"/>
      <c r="F17" s="8"/>
      <c r="G17" s="8"/>
      <c r="H17" s="8"/>
      <c r="I17" s="8"/>
      <c r="J17" s="8"/>
      <c r="K17" s="8"/>
      <c r="L17" s="8"/>
      <c r="M17" s="8"/>
      <c r="N17" s="8"/>
      <c r="O17" s="8"/>
      <c r="P17" s="8"/>
      <c r="Q17" s="8"/>
      <c r="R17" s="8"/>
      <c r="S17" s="8"/>
    </row>
    <row r="18" spans="1:19" x14ac:dyDescent="0.3">
      <c r="A18" s="8"/>
      <c r="B18" s="8"/>
      <c r="C18" s="8"/>
      <c r="D18" s="8"/>
      <c r="E18" s="8"/>
      <c r="F18" s="8"/>
      <c r="G18" s="8"/>
      <c r="H18" s="8"/>
      <c r="I18" s="8"/>
      <c r="J18" s="8"/>
      <c r="K18" s="8"/>
      <c r="L18" s="8"/>
      <c r="M18" s="8"/>
      <c r="N18" s="8"/>
      <c r="O18" s="8"/>
      <c r="P18" s="8"/>
      <c r="Q18" s="8"/>
      <c r="R18" s="8"/>
      <c r="S18" s="8"/>
    </row>
    <row r="19" spans="1:19" x14ac:dyDescent="0.3">
      <c r="A19" s="8"/>
      <c r="B19" s="8"/>
      <c r="C19" s="8"/>
      <c r="D19" s="8"/>
      <c r="E19" s="8"/>
      <c r="F19" s="8"/>
      <c r="G19" s="8"/>
      <c r="H19" s="8"/>
      <c r="I19" s="8"/>
      <c r="J19" s="8"/>
      <c r="K19" s="8"/>
      <c r="L19" s="8"/>
      <c r="M19" s="8"/>
      <c r="N19" s="8"/>
      <c r="O19" s="8"/>
      <c r="P19" s="8"/>
      <c r="Q19" s="8"/>
      <c r="R19" s="8"/>
      <c r="S19" s="8"/>
    </row>
    <row r="20" spans="1:19" x14ac:dyDescent="0.3">
      <c r="A20" s="11" t="s">
        <v>18</v>
      </c>
      <c r="B20" s="11" t="s">
        <v>28</v>
      </c>
      <c r="C20" s="8"/>
      <c r="D20" s="8"/>
      <c r="E20" s="8"/>
      <c r="F20" s="8"/>
      <c r="G20" s="8"/>
      <c r="H20" s="8"/>
      <c r="I20" s="8"/>
      <c r="J20" s="8"/>
      <c r="K20" s="8"/>
      <c r="L20" s="8"/>
      <c r="M20" s="8"/>
      <c r="N20" s="8"/>
      <c r="O20" s="8"/>
      <c r="P20" s="8"/>
      <c r="Q20" s="8"/>
      <c r="R20" s="8"/>
      <c r="S20" s="8"/>
    </row>
    <row r="21" spans="1:19" x14ac:dyDescent="0.3">
      <c r="A21" s="9" t="s">
        <v>10</v>
      </c>
      <c r="B21" s="10">
        <v>2</v>
      </c>
      <c r="C21" s="8"/>
      <c r="D21" s="8"/>
      <c r="E21" s="8"/>
      <c r="F21" s="8"/>
      <c r="G21" s="8"/>
      <c r="H21" s="8"/>
      <c r="I21" s="8"/>
      <c r="J21" s="8"/>
      <c r="K21" s="8"/>
      <c r="L21" s="8"/>
      <c r="M21" s="8"/>
      <c r="N21" s="8"/>
      <c r="O21" s="8"/>
      <c r="P21" s="8"/>
      <c r="Q21" s="8"/>
      <c r="R21" s="8"/>
      <c r="S21" s="8"/>
    </row>
    <row r="22" spans="1:19" x14ac:dyDescent="0.3">
      <c r="A22" s="9" t="s">
        <v>11</v>
      </c>
      <c r="B22" s="10">
        <v>1</v>
      </c>
      <c r="C22" s="8"/>
      <c r="D22" s="8"/>
      <c r="E22" s="8"/>
      <c r="F22" s="8"/>
      <c r="G22" s="8"/>
      <c r="H22" s="8"/>
      <c r="I22" s="8"/>
      <c r="J22" s="8"/>
      <c r="K22" s="8"/>
      <c r="L22" s="8"/>
      <c r="M22" s="8"/>
      <c r="N22" s="8"/>
      <c r="O22" s="8"/>
      <c r="P22" s="8"/>
      <c r="Q22" s="8"/>
      <c r="R22" s="8"/>
      <c r="S22" s="8"/>
    </row>
    <row r="23" spans="1:19" x14ac:dyDescent="0.3">
      <c r="A23" s="9" t="s">
        <v>12</v>
      </c>
      <c r="B23" s="10">
        <v>2</v>
      </c>
      <c r="C23" s="8"/>
      <c r="D23" s="8"/>
      <c r="E23" s="8"/>
      <c r="F23" s="8"/>
      <c r="G23" s="8"/>
      <c r="H23" s="8"/>
      <c r="I23" s="8"/>
      <c r="J23" s="8"/>
      <c r="K23" s="8"/>
      <c r="L23" s="8"/>
      <c r="M23" s="8"/>
      <c r="N23" s="8"/>
      <c r="O23" s="8"/>
      <c r="P23" s="8"/>
      <c r="Q23" s="8"/>
      <c r="R23" s="8"/>
      <c r="S23" s="8"/>
    </row>
    <row r="24" spans="1:19" x14ac:dyDescent="0.3">
      <c r="A24" s="9" t="s">
        <v>13</v>
      </c>
      <c r="B24" s="10">
        <v>2</v>
      </c>
      <c r="C24" s="8"/>
      <c r="D24" s="8"/>
      <c r="E24" s="8"/>
      <c r="F24" s="8"/>
      <c r="G24" s="8"/>
      <c r="H24" s="8"/>
      <c r="I24" s="8"/>
      <c r="J24" s="8"/>
      <c r="K24" s="8"/>
      <c r="L24" s="8"/>
      <c r="M24" s="8"/>
      <c r="N24" s="8"/>
      <c r="O24" s="8"/>
      <c r="P24" s="8"/>
      <c r="Q24" s="8"/>
      <c r="R24" s="8"/>
      <c r="S24" s="8"/>
    </row>
    <row r="25" spans="1:19" x14ac:dyDescent="0.3">
      <c r="A25" s="9" t="s">
        <v>14</v>
      </c>
      <c r="B25" s="10">
        <v>1</v>
      </c>
      <c r="C25" s="8"/>
      <c r="D25" s="8"/>
      <c r="E25" s="8"/>
      <c r="F25" s="8"/>
      <c r="G25" s="8"/>
      <c r="H25" s="8"/>
      <c r="I25" s="8"/>
      <c r="J25" s="8"/>
      <c r="K25" s="8"/>
      <c r="L25" s="8"/>
      <c r="M25" s="8"/>
      <c r="N25" s="8"/>
      <c r="O25" s="8"/>
      <c r="P25" s="8"/>
      <c r="Q25" s="8"/>
      <c r="R25" s="8"/>
      <c r="S25" s="8"/>
    </row>
    <row r="26" spans="1:19" x14ac:dyDescent="0.3">
      <c r="A26" s="9" t="s">
        <v>15</v>
      </c>
      <c r="B26" s="10">
        <v>2</v>
      </c>
      <c r="C26" s="8"/>
      <c r="D26" s="8"/>
      <c r="E26" s="8"/>
      <c r="F26" s="8"/>
      <c r="G26" s="8"/>
      <c r="H26" s="8"/>
      <c r="I26" s="8"/>
      <c r="J26" s="8"/>
      <c r="K26" s="8"/>
      <c r="L26" s="8"/>
      <c r="M26" s="8"/>
      <c r="N26" s="8"/>
      <c r="O26" s="8"/>
      <c r="P26" s="8"/>
      <c r="Q26" s="8"/>
      <c r="R26" s="8"/>
      <c r="S26" s="8"/>
    </row>
    <row r="27" spans="1:19" x14ac:dyDescent="0.3">
      <c r="A27" s="9" t="s">
        <v>16</v>
      </c>
      <c r="B27" s="10">
        <v>2</v>
      </c>
      <c r="C27" s="8"/>
      <c r="D27" s="8"/>
      <c r="E27" s="8"/>
      <c r="F27" s="8"/>
      <c r="G27" s="8"/>
      <c r="H27" s="8"/>
      <c r="I27" s="8"/>
      <c r="J27" s="8"/>
      <c r="K27" s="8"/>
      <c r="L27" s="8"/>
      <c r="M27" s="8"/>
      <c r="N27" s="8"/>
      <c r="O27" s="8"/>
      <c r="P27" s="8"/>
      <c r="Q27" s="8"/>
      <c r="R27" s="8"/>
      <c r="S27" s="8"/>
    </row>
    <row r="28" spans="1:19" x14ac:dyDescent="0.3">
      <c r="A28" s="9" t="s">
        <v>17</v>
      </c>
      <c r="B28" s="10">
        <v>2</v>
      </c>
      <c r="C28" s="8"/>
      <c r="D28" s="8"/>
      <c r="E28" s="8"/>
      <c r="F28" s="8"/>
      <c r="G28" s="8"/>
      <c r="H28" s="8"/>
      <c r="I28" s="8"/>
      <c r="J28" s="8"/>
      <c r="K28" s="8"/>
      <c r="L28" s="8"/>
      <c r="M28" s="8"/>
      <c r="N28" s="8"/>
      <c r="O28" s="8"/>
      <c r="P28" s="8"/>
      <c r="Q28" s="8"/>
      <c r="R28" s="8"/>
      <c r="S28" s="8"/>
    </row>
    <row r="29" spans="1:19" x14ac:dyDescent="0.3">
      <c r="A29" s="8"/>
      <c r="B29" s="8"/>
      <c r="C29" s="8"/>
      <c r="D29" s="8"/>
      <c r="E29" s="8"/>
      <c r="F29" s="8"/>
      <c r="G29" s="8"/>
      <c r="H29" s="8"/>
      <c r="I29" s="8"/>
      <c r="J29" s="8"/>
      <c r="K29" s="8"/>
      <c r="L29" s="8"/>
      <c r="M29" s="8"/>
      <c r="N29" s="8"/>
      <c r="O29" s="8"/>
      <c r="P29" s="8"/>
      <c r="Q29" s="8"/>
      <c r="R29" s="8"/>
      <c r="S29" s="8"/>
    </row>
    <row r="30" spans="1:19" x14ac:dyDescent="0.3">
      <c r="A30" s="8"/>
      <c r="B30" s="8"/>
      <c r="C30" s="8"/>
      <c r="D30" s="8"/>
      <c r="E30" s="8"/>
      <c r="F30" s="8"/>
      <c r="G30" s="8"/>
      <c r="H30" s="8"/>
      <c r="I30" s="8"/>
      <c r="J30" s="8"/>
      <c r="K30" s="8"/>
      <c r="L30" s="8"/>
      <c r="M30" s="8"/>
      <c r="N30" s="8"/>
      <c r="O30" s="8"/>
      <c r="P30" s="8"/>
      <c r="Q30" s="8"/>
      <c r="R30" s="8"/>
      <c r="S30" s="8"/>
    </row>
    <row r="31" spans="1:19" x14ac:dyDescent="0.3">
      <c r="A31" s="8"/>
      <c r="B31" s="8"/>
      <c r="C31" s="8"/>
      <c r="D31" s="8"/>
      <c r="E31" s="8"/>
      <c r="F31" s="8"/>
      <c r="G31" s="8"/>
      <c r="H31" s="8"/>
      <c r="I31" s="8"/>
      <c r="J31" s="8"/>
      <c r="K31" s="8"/>
      <c r="L31" s="8"/>
      <c r="M31" s="8"/>
      <c r="N31" s="8"/>
      <c r="O31" s="8"/>
      <c r="P31" s="8"/>
      <c r="Q31" s="8"/>
      <c r="R31" s="8"/>
      <c r="S31" s="8"/>
    </row>
    <row r="32" spans="1:19" x14ac:dyDescent="0.3">
      <c r="A32" s="8"/>
      <c r="B32" s="8"/>
      <c r="C32" s="8"/>
      <c r="D32" s="8"/>
      <c r="E32" s="8"/>
      <c r="F32" s="8"/>
      <c r="G32" s="8"/>
      <c r="H32" s="8"/>
      <c r="I32" s="8"/>
      <c r="J32" s="8"/>
      <c r="K32" s="8"/>
      <c r="L32" s="8"/>
      <c r="M32" s="8"/>
      <c r="N32" s="8"/>
      <c r="O32" s="8"/>
      <c r="P32" s="8"/>
      <c r="Q32" s="8"/>
      <c r="R32" s="8"/>
      <c r="S32" s="8"/>
    </row>
    <row r="33" spans="1:19" x14ac:dyDescent="0.3">
      <c r="A33" s="8"/>
      <c r="B33" s="8"/>
      <c r="C33" s="8"/>
      <c r="D33" s="8"/>
      <c r="E33" s="8"/>
      <c r="F33" s="8"/>
      <c r="G33" s="8"/>
      <c r="H33" s="8"/>
      <c r="I33" s="8"/>
      <c r="J33" s="8"/>
      <c r="K33" s="8"/>
      <c r="L33" s="8"/>
      <c r="M33" s="8"/>
      <c r="N33" s="8"/>
      <c r="O33" s="8"/>
      <c r="P33" s="8"/>
      <c r="Q33" s="8"/>
      <c r="R33" s="8"/>
      <c r="S33" s="8"/>
    </row>
    <row r="34" spans="1:19" x14ac:dyDescent="0.3">
      <c r="A34" s="8"/>
      <c r="B34" s="8"/>
      <c r="C34" s="8"/>
      <c r="D34" s="8"/>
      <c r="E34" s="8"/>
      <c r="F34" s="8"/>
      <c r="G34" s="8"/>
      <c r="H34" s="8"/>
      <c r="I34" s="8"/>
      <c r="J34" s="8"/>
      <c r="K34" s="8"/>
      <c r="L34" s="8"/>
      <c r="M34" s="8"/>
      <c r="N34" s="8"/>
      <c r="O34" s="8"/>
      <c r="P34" s="8"/>
      <c r="Q34" s="8"/>
      <c r="R34" s="8"/>
      <c r="S34" s="8"/>
    </row>
    <row r="35" spans="1:19" x14ac:dyDescent="0.3">
      <c r="N35" s="8"/>
      <c r="O35" s="8"/>
      <c r="P35" s="8"/>
      <c r="Q35" s="8"/>
      <c r="R35" s="8"/>
      <c r="S35" s="8"/>
    </row>
  </sheetData>
  <conditionalFormatting sqref="B7">
    <cfRule type="containsText" dxfId="20" priority="2" operator="containsText" text="2">
      <formula>NOT(ISERROR(SEARCH("2",B7)))</formula>
    </cfRule>
  </conditionalFormatting>
  <conditionalFormatting sqref="B20">
    <cfRule type="containsText" dxfId="19" priority="1" operator="containsText" text="2">
      <formula>NOT(ISERROR(SEARCH("2",B20)))</formula>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4A0BA-13C1-4C8A-83F1-9F8A16176E09}">
  <dimension ref="A1:K49"/>
  <sheetViews>
    <sheetView workbookViewId="0">
      <selection sqref="A1:K1048576"/>
    </sheetView>
  </sheetViews>
  <sheetFormatPr defaultRowHeight="14.4" x14ac:dyDescent="0.3"/>
  <cols>
    <col min="1" max="1" width="14.109375" customWidth="1"/>
    <col min="2" max="2" width="17.21875" customWidth="1"/>
    <col min="3" max="3" width="16.109375" style="4" customWidth="1"/>
    <col min="7" max="7" width="13.5546875" customWidth="1"/>
    <col min="8" max="8" width="17.77734375" customWidth="1"/>
    <col min="9" max="9" width="11" customWidth="1"/>
    <col min="10" max="10" width="10.6640625" style="3" bestFit="1" customWidth="1"/>
  </cols>
  <sheetData>
    <row r="1" spans="1:11" x14ac:dyDescent="0.3">
      <c r="A1" s="1" t="s">
        <v>0</v>
      </c>
      <c r="B1" s="1" t="s">
        <v>1</v>
      </c>
      <c r="C1" s="4" t="s">
        <v>3</v>
      </c>
      <c r="D1" s="1" t="s">
        <v>4</v>
      </c>
      <c r="E1" s="1" t="s">
        <v>5</v>
      </c>
      <c r="F1" s="1" t="s">
        <v>6</v>
      </c>
      <c r="G1" s="1" t="s">
        <v>7</v>
      </c>
      <c r="H1" s="1" t="s">
        <v>8</v>
      </c>
      <c r="I1" s="1" t="s">
        <v>9</v>
      </c>
      <c r="J1" s="3" t="s">
        <v>2</v>
      </c>
      <c r="K1" t="s">
        <v>20</v>
      </c>
    </row>
    <row r="2" spans="1:11" x14ac:dyDescent="0.3">
      <c r="A2" s="1" t="s">
        <v>10</v>
      </c>
      <c r="B2" s="2">
        <v>45658</v>
      </c>
      <c r="C2" s="5">
        <v>45</v>
      </c>
      <c r="D2" s="1">
        <v>1500</v>
      </c>
      <c r="E2" s="1">
        <v>60</v>
      </c>
      <c r="F2" s="1">
        <v>30</v>
      </c>
      <c r="G2" s="1">
        <v>40</v>
      </c>
      <c r="H2" s="1">
        <v>120</v>
      </c>
      <c r="I2" s="1">
        <v>0</v>
      </c>
      <c r="J2" s="7">
        <v>2.1</v>
      </c>
      <c r="K2" s="6" t="str">
        <f>IF(OR(_2_1[[#This Row],[Vibration]]&gt;3,Table14[[#This Row],[Temperature]]&gt;60),"HIGH","LOW")</f>
        <v>LOW</v>
      </c>
    </row>
    <row r="3" spans="1:11" x14ac:dyDescent="0.3">
      <c r="A3" s="1" t="s">
        <v>10</v>
      </c>
      <c r="B3" s="2">
        <v>45659</v>
      </c>
      <c r="C3" s="5">
        <v>46</v>
      </c>
      <c r="D3" s="1">
        <v>1510</v>
      </c>
      <c r="E3" s="1">
        <v>62</v>
      </c>
      <c r="F3" s="1">
        <v>32</v>
      </c>
      <c r="G3" s="1">
        <v>42</v>
      </c>
      <c r="H3" s="1">
        <v>125</v>
      </c>
      <c r="I3" s="1">
        <v>0</v>
      </c>
      <c r="J3" s="7">
        <v>2.2999999999999998</v>
      </c>
      <c r="K3" s="6" t="str">
        <f>IF(OR(_2_1[[#This Row],[Vibration]]&gt;3,Table14[[#This Row],[Temperature]]&gt;60),"HIGH","LOW")</f>
        <v>LOW</v>
      </c>
    </row>
    <row r="4" spans="1:11" x14ac:dyDescent="0.3">
      <c r="A4" s="1" t="s">
        <v>10</v>
      </c>
      <c r="B4" s="2">
        <v>45660</v>
      </c>
      <c r="C4" s="5">
        <v>61</v>
      </c>
      <c r="D4" s="1">
        <v>1600</v>
      </c>
      <c r="E4" s="1">
        <v>85</v>
      </c>
      <c r="F4" s="1">
        <v>45</v>
      </c>
      <c r="G4" s="1">
        <v>50</v>
      </c>
      <c r="H4" s="1">
        <v>180</v>
      </c>
      <c r="I4" s="1">
        <v>1</v>
      </c>
      <c r="J4" s="7">
        <v>3.9</v>
      </c>
      <c r="K4" s="6" t="str">
        <f>IF(OR(_2_1[[#This Row],[Vibration]]&gt;3,Table14[[#This Row],[Temperature]]&gt;60),"HIGH","LOW")</f>
        <v>HIGH</v>
      </c>
    </row>
    <row r="5" spans="1:11" x14ac:dyDescent="0.3">
      <c r="A5" s="1" t="s">
        <v>10</v>
      </c>
      <c r="B5" s="2">
        <v>45661</v>
      </c>
      <c r="C5" s="5">
        <v>44</v>
      </c>
      <c r="D5" s="1">
        <v>1490</v>
      </c>
      <c r="E5" s="1">
        <v>58</v>
      </c>
      <c r="F5" s="1">
        <v>29</v>
      </c>
      <c r="G5" s="1">
        <v>38</v>
      </c>
      <c r="H5" s="1">
        <v>118</v>
      </c>
      <c r="I5" s="1">
        <v>0</v>
      </c>
      <c r="J5" s="7">
        <v>2</v>
      </c>
      <c r="K5" s="6" t="str">
        <f>IF(OR(_2_1[[#This Row],[Vibration]]&gt;3,Table14[[#This Row],[Temperature]]&gt;60),"HIGH","LOW")</f>
        <v>LOW</v>
      </c>
    </row>
    <row r="6" spans="1:11" x14ac:dyDescent="0.3">
      <c r="A6" s="1" t="s">
        <v>10</v>
      </c>
      <c r="B6" s="2">
        <v>45662</v>
      </c>
      <c r="C6" s="5">
        <v>65</v>
      </c>
      <c r="D6" s="1">
        <v>1650</v>
      </c>
      <c r="E6" s="1">
        <v>90</v>
      </c>
      <c r="F6" s="1">
        <v>50</v>
      </c>
      <c r="G6" s="1">
        <v>55</v>
      </c>
      <c r="H6" s="1">
        <v>200</v>
      </c>
      <c r="I6" s="1">
        <v>1</v>
      </c>
      <c r="J6" s="7">
        <v>4.2</v>
      </c>
      <c r="K6" s="6" t="str">
        <f>IF(OR(_2_1[[#This Row],[Vibration]]&gt;3,Table14[[#This Row],[Temperature]]&gt;60),"HIGH","LOW")</f>
        <v>HIGH</v>
      </c>
    </row>
    <row r="7" spans="1:11" x14ac:dyDescent="0.3">
      <c r="A7" s="1" t="s">
        <v>10</v>
      </c>
      <c r="B7" s="2">
        <v>45663</v>
      </c>
      <c r="C7" s="5">
        <v>47</v>
      </c>
      <c r="D7" s="1">
        <v>1520</v>
      </c>
      <c r="E7" s="1">
        <v>63</v>
      </c>
      <c r="F7" s="1">
        <v>33</v>
      </c>
      <c r="G7" s="1">
        <v>43</v>
      </c>
      <c r="H7" s="1">
        <v>128</v>
      </c>
      <c r="I7" s="1">
        <v>0</v>
      </c>
      <c r="J7" s="7">
        <v>2.4</v>
      </c>
      <c r="K7" s="6" t="str">
        <f>IF(OR(_2_1[[#This Row],[Vibration]]&gt;3,Table14[[#This Row],[Temperature]]&gt;60),"HIGH","LOW")</f>
        <v>LOW</v>
      </c>
    </row>
    <row r="8" spans="1:11" x14ac:dyDescent="0.3">
      <c r="A8" s="1" t="s">
        <v>11</v>
      </c>
      <c r="B8" s="2">
        <v>45658</v>
      </c>
      <c r="C8" s="5">
        <v>40</v>
      </c>
      <c r="D8" s="1">
        <v>1400</v>
      </c>
      <c r="E8" s="1">
        <v>50</v>
      </c>
      <c r="F8" s="1">
        <v>25</v>
      </c>
      <c r="G8" s="1">
        <v>35</v>
      </c>
      <c r="H8" s="1">
        <v>100</v>
      </c>
      <c r="I8" s="1">
        <v>0</v>
      </c>
      <c r="J8" s="7">
        <v>1.5</v>
      </c>
      <c r="K8" s="6" t="str">
        <f>IF(OR(_2_1[[#This Row],[Vibration]]&gt;3,Table14[[#This Row],[Temperature]]&gt;60),"HIGH","LOW")</f>
        <v>LOW</v>
      </c>
    </row>
    <row r="9" spans="1:11" x14ac:dyDescent="0.3">
      <c r="A9" s="1" t="s">
        <v>11</v>
      </c>
      <c r="B9" s="2">
        <v>45659</v>
      </c>
      <c r="C9" s="5">
        <v>42</v>
      </c>
      <c r="D9" s="1">
        <v>1420</v>
      </c>
      <c r="E9" s="1">
        <v>55</v>
      </c>
      <c r="F9" s="1">
        <v>28</v>
      </c>
      <c r="G9" s="1">
        <v>37</v>
      </c>
      <c r="H9" s="1">
        <v>105</v>
      </c>
      <c r="I9" s="1">
        <v>0</v>
      </c>
      <c r="J9" s="7">
        <v>1.7</v>
      </c>
      <c r="K9" s="6" t="str">
        <f>IF(OR(_2_1[[#This Row],[Vibration]]&gt;3,Table14[[#This Row],[Temperature]]&gt;60),"HIGH","LOW")</f>
        <v>LOW</v>
      </c>
    </row>
    <row r="10" spans="1:11" x14ac:dyDescent="0.3">
      <c r="A10" s="1" t="s">
        <v>11</v>
      </c>
      <c r="B10" s="2">
        <v>45660</v>
      </c>
      <c r="C10" s="5">
        <v>55</v>
      </c>
      <c r="D10" s="1">
        <v>1550</v>
      </c>
      <c r="E10" s="1">
        <v>78</v>
      </c>
      <c r="F10" s="1">
        <v>40</v>
      </c>
      <c r="G10" s="1">
        <v>48</v>
      </c>
      <c r="H10" s="1">
        <v>160</v>
      </c>
      <c r="I10" s="1">
        <v>1</v>
      </c>
      <c r="J10" s="7">
        <v>2.8</v>
      </c>
      <c r="K10" s="6" t="str">
        <f>IF(OR(_2_1[[#This Row],[Vibration]]&gt;3,Table14[[#This Row],[Temperature]]&gt;60),"HIGH","LOW")</f>
        <v>LOW</v>
      </c>
    </row>
    <row r="11" spans="1:11" x14ac:dyDescent="0.3">
      <c r="A11" s="1" t="s">
        <v>11</v>
      </c>
      <c r="B11" s="2">
        <v>45661</v>
      </c>
      <c r="C11" s="5">
        <v>41</v>
      </c>
      <c r="D11" s="1">
        <v>1410</v>
      </c>
      <c r="E11" s="1">
        <v>52</v>
      </c>
      <c r="F11" s="1">
        <v>26</v>
      </c>
      <c r="G11" s="1">
        <v>36</v>
      </c>
      <c r="H11" s="1">
        <v>102</v>
      </c>
      <c r="I11" s="1">
        <v>0</v>
      </c>
      <c r="J11" s="7">
        <v>1.6</v>
      </c>
      <c r="K11" s="6" t="str">
        <f>IF(OR(_2_1[[#This Row],[Vibration]]&gt;3,Table14[[#This Row],[Temperature]]&gt;60),"HIGH","LOW")</f>
        <v>LOW</v>
      </c>
    </row>
    <row r="12" spans="1:11" x14ac:dyDescent="0.3">
      <c r="A12" s="1" t="s">
        <v>11</v>
      </c>
      <c r="B12" s="2">
        <v>45662</v>
      </c>
      <c r="C12" s="5">
        <v>58</v>
      </c>
      <c r="D12" s="1">
        <v>1580</v>
      </c>
      <c r="E12" s="1">
        <v>82</v>
      </c>
      <c r="F12" s="1">
        <v>42</v>
      </c>
      <c r="G12" s="1">
        <v>49</v>
      </c>
      <c r="H12" s="1">
        <v>170</v>
      </c>
      <c r="I12" s="1">
        <v>1</v>
      </c>
      <c r="J12" s="7">
        <v>3.1</v>
      </c>
      <c r="K12" s="6" t="str">
        <f>IF(OR(_2_1[[#This Row],[Vibration]]&gt;3,Table14[[#This Row],[Temperature]]&gt;60),"HIGH","LOW")</f>
        <v>HIGH</v>
      </c>
    </row>
    <row r="13" spans="1:11" x14ac:dyDescent="0.3">
      <c r="A13" s="1" t="s">
        <v>11</v>
      </c>
      <c r="B13" s="2">
        <v>45663</v>
      </c>
      <c r="C13" s="5">
        <v>43</v>
      </c>
      <c r="D13" s="1">
        <v>1430</v>
      </c>
      <c r="E13" s="1">
        <v>56</v>
      </c>
      <c r="F13" s="1">
        <v>29</v>
      </c>
      <c r="G13" s="1">
        <v>38</v>
      </c>
      <c r="H13" s="1">
        <v>108</v>
      </c>
      <c r="I13" s="1">
        <v>0</v>
      </c>
      <c r="J13" s="7">
        <v>1.8</v>
      </c>
      <c r="K13" s="6" t="str">
        <f>IF(OR(_2_1[[#This Row],[Vibration]]&gt;3,Table14[[#This Row],[Temperature]]&gt;60),"HIGH","LOW")</f>
        <v>LOW</v>
      </c>
    </row>
    <row r="14" spans="1:11" x14ac:dyDescent="0.3">
      <c r="A14" s="1" t="s">
        <v>12</v>
      </c>
      <c r="B14" s="2">
        <v>45658</v>
      </c>
      <c r="C14" s="5">
        <v>44</v>
      </c>
      <c r="D14" s="1">
        <v>1480</v>
      </c>
      <c r="E14" s="1">
        <v>57</v>
      </c>
      <c r="F14" s="1">
        <v>30</v>
      </c>
      <c r="G14" s="1">
        <v>39</v>
      </c>
      <c r="H14" s="1">
        <v>115</v>
      </c>
      <c r="I14" s="1">
        <v>0</v>
      </c>
      <c r="J14" s="7">
        <v>2</v>
      </c>
      <c r="K14" s="6" t="str">
        <f>IF(OR(_2_1[[#This Row],[Vibration]]&gt;3,Table14[[#This Row],[Temperature]]&gt;60),"HIGH","LOW")</f>
        <v>LOW</v>
      </c>
    </row>
    <row r="15" spans="1:11" x14ac:dyDescent="0.3">
      <c r="A15" s="1" t="s">
        <v>12</v>
      </c>
      <c r="B15" s="2">
        <v>45659</v>
      </c>
      <c r="C15" s="5">
        <v>46</v>
      </c>
      <c r="D15" s="1">
        <v>1500</v>
      </c>
      <c r="E15" s="1">
        <v>60</v>
      </c>
      <c r="F15" s="1">
        <v>32</v>
      </c>
      <c r="G15" s="1">
        <v>41</v>
      </c>
      <c r="H15" s="1">
        <v>120</v>
      </c>
      <c r="I15" s="1">
        <v>0</v>
      </c>
      <c r="J15" s="7">
        <v>2.2000000000000002</v>
      </c>
      <c r="K15" s="6" t="str">
        <f>IF(OR(_2_1[[#This Row],[Vibration]]&gt;3,Table14[[#This Row],[Temperature]]&gt;60),"HIGH","LOW")</f>
        <v>LOW</v>
      </c>
    </row>
    <row r="16" spans="1:11" x14ac:dyDescent="0.3">
      <c r="A16" s="1" t="s">
        <v>12</v>
      </c>
      <c r="B16" s="2">
        <v>45660</v>
      </c>
      <c r="C16" s="5">
        <v>60</v>
      </c>
      <c r="D16" s="1">
        <v>1620</v>
      </c>
      <c r="E16" s="1">
        <v>88</v>
      </c>
      <c r="F16" s="1">
        <v>47</v>
      </c>
      <c r="G16" s="1">
        <v>52</v>
      </c>
      <c r="H16" s="1">
        <v>185</v>
      </c>
      <c r="I16" s="1">
        <v>1</v>
      </c>
      <c r="J16" s="7">
        <v>3.5</v>
      </c>
      <c r="K16" s="6" t="str">
        <f>IF(OR(_2_1[[#This Row],[Vibration]]&gt;3,Table14[[#This Row],[Temperature]]&gt;60),"HIGH","LOW")</f>
        <v>HIGH</v>
      </c>
    </row>
    <row r="17" spans="1:11" x14ac:dyDescent="0.3">
      <c r="A17" s="1" t="s">
        <v>12</v>
      </c>
      <c r="B17" s="2">
        <v>45661</v>
      </c>
      <c r="C17" s="5">
        <v>45</v>
      </c>
      <c r="D17" s="1">
        <v>1495</v>
      </c>
      <c r="E17" s="1">
        <v>58</v>
      </c>
      <c r="F17" s="1">
        <v>31</v>
      </c>
      <c r="G17" s="1">
        <v>40</v>
      </c>
      <c r="H17" s="1">
        <v>118</v>
      </c>
      <c r="I17" s="1">
        <v>0</v>
      </c>
      <c r="J17" s="7">
        <v>2.1</v>
      </c>
      <c r="K17" s="6" t="str">
        <f>IF(OR(_2_1[[#This Row],[Vibration]]&gt;3,Table14[[#This Row],[Temperature]]&gt;60),"HIGH","LOW")</f>
        <v>LOW</v>
      </c>
    </row>
    <row r="18" spans="1:11" x14ac:dyDescent="0.3">
      <c r="A18" s="1" t="s">
        <v>12</v>
      </c>
      <c r="B18" s="2">
        <v>45662</v>
      </c>
      <c r="C18" s="5">
        <v>64</v>
      </c>
      <c r="D18" s="1">
        <v>1670</v>
      </c>
      <c r="E18" s="1">
        <v>92</v>
      </c>
      <c r="F18" s="1">
        <v>51</v>
      </c>
      <c r="G18" s="1">
        <v>54</v>
      </c>
      <c r="H18" s="1">
        <v>210</v>
      </c>
      <c r="I18" s="1">
        <v>1</v>
      </c>
      <c r="J18" s="7">
        <v>4</v>
      </c>
      <c r="K18" s="6" t="str">
        <f>IF(OR(_2_1[[#This Row],[Vibration]]&gt;3,Table14[[#This Row],[Temperature]]&gt;60),"HIGH","LOW")</f>
        <v>HIGH</v>
      </c>
    </row>
    <row r="19" spans="1:11" x14ac:dyDescent="0.3">
      <c r="A19" s="1" t="s">
        <v>12</v>
      </c>
      <c r="B19" s="2">
        <v>45663</v>
      </c>
      <c r="C19" s="5">
        <v>47</v>
      </c>
      <c r="D19" s="1">
        <v>1510</v>
      </c>
      <c r="E19" s="1">
        <v>62</v>
      </c>
      <c r="F19" s="1">
        <v>33</v>
      </c>
      <c r="G19" s="1">
        <v>42</v>
      </c>
      <c r="H19" s="1">
        <v>125</v>
      </c>
      <c r="I19" s="1">
        <v>0</v>
      </c>
      <c r="J19" s="7">
        <v>2.2999999999999998</v>
      </c>
      <c r="K19" s="6" t="str">
        <f>IF(OR(_2_1[[#This Row],[Vibration]]&gt;3,Table14[[#This Row],[Temperature]]&gt;60),"HIGH","LOW")</f>
        <v>LOW</v>
      </c>
    </row>
    <row r="20" spans="1:11" x14ac:dyDescent="0.3">
      <c r="A20" s="1" t="s">
        <v>13</v>
      </c>
      <c r="B20" s="2">
        <v>45658</v>
      </c>
      <c r="C20" s="5">
        <v>43</v>
      </c>
      <c r="D20" s="1">
        <v>1470</v>
      </c>
      <c r="E20" s="1">
        <v>55</v>
      </c>
      <c r="F20" s="1">
        <v>28</v>
      </c>
      <c r="G20" s="1">
        <v>37</v>
      </c>
      <c r="H20" s="1">
        <v>110</v>
      </c>
      <c r="I20" s="1">
        <v>0</v>
      </c>
      <c r="J20" s="7">
        <v>1.9</v>
      </c>
      <c r="K20" s="6" t="str">
        <f>IF(OR(_2_1[[#This Row],[Vibration]]&gt;3,Table14[[#This Row],[Temperature]]&gt;60),"HIGH","LOW")</f>
        <v>LOW</v>
      </c>
    </row>
    <row r="21" spans="1:11" x14ac:dyDescent="0.3">
      <c r="A21" s="1" t="s">
        <v>13</v>
      </c>
      <c r="B21" s="2">
        <v>45659</v>
      </c>
      <c r="C21" s="5">
        <v>45</v>
      </c>
      <c r="D21" s="1">
        <v>1490</v>
      </c>
      <c r="E21" s="1">
        <v>58</v>
      </c>
      <c r="F21" s="1">
        <v>30</v>
      </c>
      <c r="G21" s="1">
        <v>39</v>
      </c>
      <c r="H21" s="1">
        <v>115</v>
      </c>
      <c r="I21" s="1">
        <v>0</v>
      </c>
      <c r="J21" s="7">
        <v>2.1</v>
      </c>
      <c r="K21" s="6" t="str">
        <f>IF(OR(_2_1[[#This Row],[Vibration]]&gt;3,Table14[[#This Row],[Temperature]]&gt;60),"HIGH","LOW")</f>
        <v>LOW</v>
      </c>
    </row>
    <row r="22" spans="1:11" x14ac:dyDescent="0.3">
      <c r="A22" s="1" t="s">
        <v>13</v>
      </c>
      <c r="B22" s="2">
        <v>45660</v>
      </c>
      <c r="C22" s="5">
        <v>59</v>
      </c>
      <c r="D22" s="1">
        <v>1610</v>
      </c>
      <c r="E22" s="1">
        <v>87</v>
      </c>
      <c r="F22" s="1">
        <v>46</v>
      </c>
      <c r="G22" s="1">
        <v>51</v>
      </c>
      <c r="H22" s="1">
        <v>180</v>
      </c>
      <c r="I22" s="1">
        <v>1</v>
      </c>
      <c r="J22" s="7">
        <v>3.6</v>
      </c>
      <c r="K22" s="6" t="str">
        <f>IF(OR(_2_1[[#This Row],[Vibration]]&gt;3,Table14[[#This Row],[Temperature]]&gt;60),"HIGH","LOW")</f>
        <v>HIGH</v>
      </c>
    </row>
    <row r="23" spans="1:11" x14ac:dyDescent="0.3">
      <c r="A23" s="1" t="s">
        <v>13</v>
      </c>
      <c r="B23" s="2">
        <v>45661</v>
      </c>
      <c r="C23" s="5">
        <v>44</v>
      </c>
      <c r="D23" s="1">
        <v>1480</v>
      </c>
      <c r="E23" s="1">
        <v>56</v>
      </c>
      <c r="F23" s="1">
        <v>29</v>
      </c>
      <c r="G23" s="1">
        <v>38</v>
      </c>
      <c r="H23" s="1">
        <v>112</v>
      </c>
      <c r="I23" s="1">
        <v>0</v>
      </c>
      <c r="J23" s="7">
        <v>2</v>
      </c>
      <c r="K23" s="6" t="str">
        <f>IF(OR(_2_1[[#This Row],[Vibration]]&gt;3,Table14[[#This Row],[Temperature]]&gt;60),"HIGH","LOW")</f>
        <v>LOW</v>
      </c>
    </row>
    <row r="24" spans="1:11" x14ac:dyDescent="0.3">
      <c r="A24" s="1" t="s">
        <v>13</v>
      </c>
      <c r="B24" s="2">
        <v>45662</v>
      </c>
      <c r="C24" s="5">
        <v>66</v>
      </c>
      <c r="D24" s="1">
        <v>1680</v>
      </c>
      <c r="E24" s="1">
        <v>93</v>
      </c>
      <c r="F24" s="1">
        <v>52</v>
      </c>
      <c r="G24" s="1">
        <v>56</v>
      </c>
      <c r="H24" s="1">
        <v>220</v>
      </c>
      <c r="I24" s="1">
        <v>1</v>
      </c>
      <c r="J24" s="7">
        <v>4.0999999999999996</v>
      </c>
      <c r="K24" s="6" t="str">
        <f>IF(OR(_2_1[[#This Row],[Vibration]]&gt;3,Table14[[#This Row],[Temperature]]&gt;60),"HIGH","LOW")</f>
        <v>HIGH</v>
      </c>
    </row>
    <row r="25" spans="1:11" x14ac:dyDescent="0.3">
      <c r="A25" s="1" t="s">
        <v>13</v>
      </c>
      <c r="B25" s="2">
        <v>45663</v>
      </c>
      <c r="C25" s="5">
        <v>46</v>
      </c>
      <c r="D25" s="1">
        <v>1505</v>
      </c>
      <c r="E25" s="1">
        <v>60</v>
      </c>
      <c r="F25" s="1">
        <v>31</v>
      </c>
      <c r="G25" s="1">
        <v>40</v>
      </c>
      <c r="H25" s="1">
        <v>120</v>
      </c>
      <c r="I25" s="1">
        <v>0</v>
      </c>
      <c r="J25" s="7">
        <v>2.2000000000000002</v>
      </c>
      <c r="K25" s="6" t="str">
        <f>IF(OR(_2_1[[#This Row],[Vibration]]&gt;3,Table14[[#This Row],[Temperature]]&gt;60),"HIGH","LOW")</f>
        <v>LOW</v>
      </c>
    </row>
    <row r="26" spans="1:11" x14ac:dyDescent="0.3">
      <c r="A26" s="1" t="s">
        <v>14</v>
      </c>
      <c r="B26" s="2">
        <v>45658</v>
      </c>
      <c r="C26" s="5">
        <v>41</v>
      </c>
      <c r="D26" s="1">
        <v>1420</v>
      </c>
      <c r="E26" s="1">
        <v>52</v>
      </c>
      <c r="F26" s="1">
        <v>26</v>
      </c>
      <c r="G26" s="1">
        <v>36</v>
      </c>
      <c r="H26" s="1">
        <v>105</v>
      </c>
      <c r="I26" s="1">
        <v>0</v>
      </c>
      <c r="J26" s="7">
        <v>1.6</v>
      </c>
      <c r="K26" s="6" t="str">
        <f>IF(OR(_2_1[[#This Row],[Vibration]]&gt;3,Table14[[#This Row],[Temperature]]&gt;60),"HIGH","LOW")</f>
        <v>LOW</v>
      </c>
    </row>
    <row r="27" spans="1:11" x14ac:dyDescent="0.3">
      <c r="A27" s="1" t="s">
        <v>14</v>
      </c>
      <c r="B27" s="2">
        <v>45659</v>
      </c>
      <c r="C27" s="5">
        <v>43</v>
      </c>
      <c r="D27" s="1">
        <v>1440</v>
      </c>
      <c r="E27" s="1">
        <v>55</v>
      </c>
      <c r="F27" s="1">
        <v>28</v>
      </c>
      <c r="G27" s="1">
        <v>38</v>
      </c>
      <c r="H27" s="1">
        <v>110</v>
      </c>
      <c r="I27" s="1">
        <v>0</v>
      </c>
      <c r="J27" s="7">
        <v>1.8</v>
      </c>
      <c r="K27" s="6" t="str">
        <f>IF(OR(_2_1[[#This Row],[Vibration]]&gt;3,Table14[[#This Row],[Temperature]]&gt;60),"HIGH","LOW")</f>
        <v>LOW</v>
      </c>
    </row>
    <row r="28" spans="1:11" x14ac:dyDescent="0.3">
      <c r="A28" s="1" t="s">
        <v>14</v>
      </c>
      <c r="B28" s="2">
        <v>45660</v>
      </c>
      <c r="C28" s="5">
        <v>57</v>
      </c>
      <c r="D28" s="1">
        <v>1570</v>
      </c>
      <c r="E28" s="1">
        <v>80</v>
      </c>
      <c r="F28" s="1">
        <v>42</v>
      </c>
      <c r="G28" s="1">
        <v>49</v>
      </c>
      <c r="H28" s="1">
        <v>165</v>
      </c>
      <c r="I28" s="1">
        <v>1</v>
      </c>
      <c r="J28" s="7">
        <v>3</v>
      </c>
      <c r="K28" s="6" t="str">
        <f>IF(OR(_2_1[[#This Row],[Vibration]]&gt;3,Table14[[#This Row],[Temperature]]&gt;60),"HIGH","LOW")</f>
        <v>LOW</v>
      </c>
    </row>
    <row r="29" spans="1:11" x14ac:dyDescent="0.3">
      <c r="A29" s="1" t="s">
        <v>14</v>
      </c>
      <c r="B29" s="2">
        <v>45661</v>
      </c>
      <c r="C29" s="5">
        <v>42</v>
      </c>
      <c r="D29" s="1">
        <v>1430</v>
      </c>
      <c r="E29" s="1">
        <v>53</v>
      </c>
      <c r="F29" s="1">
        <v>27</v>
      </c>
      <c r="G29" s="1">
        <v>37</v>
      </c>
      <c r="H29" s="1">
        <v>108</v>
      </c>
      <c r="I29" s="1">
        <v>0</v>
      </c>
      <c r="J29" s="7">
        <v>1.7</v>
      </c>
      <c r="K29" s="6" t="str">
        <f>IF(OR(_2_1[[#This Row],[Vibration]]&gt;3,Table14[[#This Row],[Temperature]]&gt;60),"HIGH","LOW")</f>
        <v>LOW</v>
      </c>
    </row>
    <row r="30" spans="1:11" x14ac:dyDescent="0.3">
      <c r="A30" s="1" t="s">
        <v>14</v>
      </c>
      <c r="B30" s="2">
        <v>45662</v>
      </c>
      <c r="C30" s="5">
        <v>62</v>
      </c>
      <c r="D30" s="1">
        <v>1640</v>
      </c>
      <c r="E30" s="1">
        <v>90</v>
      </c>
      <c r="F30" s="1">
        <v>50</v>
      </c>
      <c r="G30" s="1">
        <v>54</v>
      </c>
      <c r="H30" s="1">
        <v>200</v>
      </c>
      <c r="I30" s="1">
        <v>1</v>
      </c>
      <c r="J30" s="7">
        <v>3.8</v>
      </c>
      <c r="K30" s="6" t="str">
        <f>IF(OR(_2_1[[#This Row],[Vibration]]&gt;3,Table14[[#This Row],[Temperature]]&gt;60),"HIGH","LOW")</f>
        <v>HIGH</v>
      </c>
    </row>
    <row r="31" spans="1:11" x14ac:dyDescent="0.3">
      <c r="A31" s="1" t="s">
        <v>14</v>
      </c>
      <c r="B31" s="2">
        <v>45663</v>
      </c>
      <c r="C31" s="5">
        <v>44</v>
      </c>
      <c r="D31" s="1">
        <v>1450</v>
      </c>
      <c r="E31" s="1">
        <v>57</v>
      </c>
      <c r="F31" s="1">
        <v>29</v>
      </c>
      <c r="G31" s="1">
        <v>39</v>
      </c>
      <c r="H31" s="1">
        <v>112</v>
      </c>
      <c r="I31" s="1">
        <v>0</v>
      </c>
      <c r="J31" s="7">
        <v>1.9</v>
      </c>
      <c r="K31" s="6" t="str">
        <f>IF(OR(_2_1[[#This Row],[Vibration]]&gt;3,Table14[[#This Row],[Temperature]]&gt;60),"HIGH","LOW")</f>
        <v>LOW</v>
      </c>
    </row>
    <row r="32" spans="1:11" x14ac:dyDescent="0.3">
      <c r="A32" s="1" t="s">
        <v>15</v>
      </c>
      <c r="B32" s="2">
        <v>45658</v>
      </c>
      <c r="C32" s="5">
        <v>46</v>
      </c>
      <c r="D32" s="1">
        <v>1500</v>
      </c>
      <c r="E32" s="1">
        <v>60</v>
      </c>
      <c r="F32" s="1">
        <v>30</v>
      </c>
      <c r="G32" s="1">
        <v>40</v>
      </c>
      <c r="H32" s="1">
        <v>120</v>
      </c>
      <c r="I32" s="1">
        <v>0</v>
      </c>
      <c r="J32" s="7">
        <v>2.2000000000000002</v>
      </c>
      <c r="K32" s="6" t="str">
        <f>IF(OR(_2_1[[#This Row],[Vibration]]&gt;3,Table14[[#This Row],[Temperature]]&gt;60),"HIGH","LOW")</f>
        <v>LOW</v>
      </c>
    </row>
    <row r="33" spans="1:11" x14ac:dyDescent="0.3">
      <c r="A33" s="1" t="s">
        <v>15</v>
      </c>
      <c r="B33" s="2">
        <v>45659</v>
      </c>
      <c r="C33" s="5">
        <v>48</v>
      </c>
      <c r="D33" s="1">
        <v>1530</v>
      </c>
      <c r="E33" s="1">
        <v>65</v>
      </c>
      <c r="F33" s="1">
        <v>33</v>
      </c>
      <c r="G33" s="1">
        <v>42</v>
      </c>
      <c r="H33" s="1">
        <v>130</v>
      </c>
      <c r="I33" s="1">
        <v>0</v>
      </c>
      <c r="J33" s="7">
        <v>2.5</v>
      </c>
      <c r="K33" s="6" t="str">
        <f>IF(OR(_2_1[[#This Row],[Vibration]]&gt;3,Table14[[#This Row],[Temperature]]&gt;60),"HIGH","LOW")</f>
        <v>LOW</v>
      </c>
    </row>
    <row r="34" spans="1:11" x14ac:dyDescent="0.3">
      <c r="A34" s="1" t="s">
        <v>15</v>
      </c>
      <c r="B34" s="2">
        <v>45660</v>
      </c>
      <c r="C34" s="5">
        <v>61</v>
      </c>
      <c r="D34" s="1">
        <v>1620</v>
      </c>
      <c r="E34" s="1">
        <v>85</v>
      </c>
      <c r="F34" s="1">
        <v>45</v>
      </c>
      <c r="G34" s="1">
        <v>50</v>
      </c>
      <c r="H34" s="1">
        <v>190</v>
      </c>
      <c r="I34" s="1">
        <v>1</v>
      </c>
      <c r="J34" s="7">
        <v>3.7</v>
      </c>
      <c r="K34" s="6" t="str">
        <f>IF(OR(_2_1[[#This Row],[Vibration]]&gt;3,Table14[[#This Row],[Temperature]]&gt;60),"HIGH","LOW")</f>
        <v>HIGH</v>
      </c>
    </row>
    <row r="35" spans="1:11" x14ac:dyDescent="0.3">
      <c r="A35" s="1" t="s">
        <v>15</v>
      </c>
      <c r="B35" s="2">
        <v>45661</v>
      </c>
      <c r="C35" s="5">
        <v>47</v>
      </c>
      <c r="D35" s="1">
        <v>1510</v>
      </c>
      <c r="E35" s="1">
        <v>62</v>
      </c>
      <c r="F35" s="1">
        <v>31</v>
      </c>
      <c r="G35" s="1">
        <v>41</v>
      </c>
      <c r="H35" s="1">
        <v>125</v>
      </c>
      <c r="I35" s="1">
        <v>0</v>
      </c>
      <c r="J35" s="7">
        <v>2.2999999999999998</v>
      </c>
      <c r="K35" s="6" t="str">
        <f>IF(OR(_2_1[[#This Row],[Vibration]]&gt;3,Table14[[#This Row],[Temperature]]&gt;60),"HIGH","LOW")</f>
        <v>LOW</v>
      </c>
    </row>
    <row r="36" spans="1:11" x14ac:dyDescent="0.3">
      <c r="A36" s="1" t="s">
        <v>15</v>
      </c>
      <c r="B36" s="2">
        <v>45662</v>
      </c>
      <c r="C36" s="5">
        <v>67</v>
      </c>
      <c r="D36" s="1">
        <v>1700</v>
      </c>
      <c r="E36" s="1">
        <v>95</v>
      </c>
      <c r="F36" s="1">
        <v>55</v>
      </c>
      <c r="G36" s="1">
        <v>58</v>
      </c>
      <c r="H36" s="1">
        <v>230</v>
      </c>
      <c r="I36" s="1">
        <v>1</v>
      </c>
      <c r="J36" s="7">
        <v>4.3</v>
      </c>
      <c r="K36" s="6" t="str">
        <f>IF(OR(_2_1[[#This Row],[Vibration]]&gt;3,Table14[[#This Row],[Temperature]]&gt;60),"HIGH","LOW")</f>
        <v>HIGH</v>
      </c>
    </row>
    <row r="37" spans="1:11" x14ac:dyDescent="0.3">
      <c r="A37" s="1" t="s">
        <v>15</v>
      </c>
      <c r="B37" s="2">
        <v>45663</v>
      </c>
      <c r="C37" s="5">
        <v>49</v>
      </c>
      <c r="D37" s="1">
        <v>1540</v>
      </c>
      <c r="E37" s="1">
        <v>66</v>
      </c>
      <c r="F37" s="1">
        <v>34</v>
      </c>
      <c r="G37" s="1">
        <v>43</v>
      </c>
      <c r="H37" s="1">
        <v>135</v>
      </c>
      <c r="I37" s="1">
        <v>0</v>
      </c>
      <c r="J37" s="7">
        <v>2.4</v>
      </c>
      <c r="K37" s="6" t="str">
        <f>IF(OR(_2_1[[#This Row],[Vibration]]&gt;3,Table14[[#This Row],[Temperature]]&gt;60),"HIGH","LOW")</f>
        <v>LOW</v>
      </c>
    </row>
    <row r="38" spans="1:11" x14ac:dyDescent="0.3">
      <c r="A38" s="1" t="s">
        <v>16</v>
      </c>
      <c r="B38" s="2">
        <v>45658</v>
      </c>
      <c r="C38" s="5">
        <v>42</v>
      </c>
      <c r="D38" s="1">
        <v>1430</v>
      </c>
      <c r="E38" s="1">
        <v>53</v>
      </c>
      <c r="F38" s="1">
        <v>27</v>
      </c>
      <c r="G38" s="1">
        <v>37</v>
      </c>
      <c r="H38" s="1">
        <v>108</v>
      </c>
      <c r="I38" s="1">
        <v>0</v>
      </c>
      <c r="J38" s="7">
        <v>1.7</v>
      </c>
      <c r="K38" s="6" t="str">
        <f>IF(OR(_2_1[[#This Row],[Vibration]]&gt;3,Table14[[#This Row],[Temperature]]&gt;60),"HIGH","LOW")</f>
        <v>LOW</v>
      </c>
    </row>
    <row r="39" spans="1:11" x14ac:dyDescent="0.3">
      <c r="A39" s="1" t="s">
        <v>16</v>
      </c>
      <c r="B39" s="2">
        <v>45659</v>
      </c>
      <c r="C39" s="5">
        <v>44</v>
      </c>
      <c r="D39" s="1">
        <v>1450</v>
      </c>
      <c r="E39" s="1">
        <v>56</v>
      </c>
      <c r="F39" s="1">
        <v>29</v>
      </c>
      <c r="G39" s="1">
        <v>39</v>
      </c>
      <c r="H39" s="1">
        <v>112</v>
      </c>
      <c r="I39" s="1">
        <v>0</v>
      </c>
      <c r="J39" s="7">
        <v>1.9</v>
      </c>
      <c r="K39" s="6" t="str">
        <f>IF(OR(_2_1[[#This Row],[Vibration]]&gt;3,Table14[[#This Row],[Temperature]]&gt;60),"HIGH","LOW")</f>
        <v>LOW</v>
      </c>
    </row>
    <row r="40" spans="1:11" x14ac:dyDescent="0.3">
      <c r="A40" s="1" t="s">
        <v>16</v>
      </c>
      <c r="B40" s="2">
        <v>45660</v>
      </c>
      <c r="C40" s="5">
        <v>58</v>
      </c>
      <c r="D40" s="1">
        <v>1590</v>
      </c>
      <c r="E40" s="1">
        <v>82</v>
      </c>
      <c r="F40" s="1">
        <v>43</v>
      </c>
      <c r="G40" s="1">
        <v>50</v>
      </c>
      <c r="H40" s="1">
        <v>175</v>
      </c>
      <c r="I40" s="1">
        <v>1</v>
      </c>
      <c r="J40" s="7">
        <v>3.2</v>
      </c>
      <c r="K40" s="6" t="str">
        <f>IF(OR(_2_1[[#This Row],[Vibration]]&gt;3,Table14[[#This Row],[Temperature]]&gt;60),"HIGH","LOW")</f>
        <v>HIGH</v>
      </c>
    </row>
    <row r="41" spans="1:11" x14ac:dyDescent="0.3">
      <c r="A41" s="1" t="s">
        <v>16</v>
      </c>
      <c r="B41" s="2">
        <v>45661</v>
      </c>
      <c r="C41" s="5">
        <v>43</v>
      </c>
      <c r="D41" s="1">
        <v>1440</v>
      </c>
      <c r="E41" s="1">
        <v>54</v>
      </c>
      <c r="F41" s="1">
        <v>28</v>
      </c>
      <c r="G41" s="1">
        <v>38</v>
      </c>
      <c r="H41" s="1">
        <v>110</v>
      </c>
      <c r="I41" s="1">
        <v>0</v>
      </c>
      <c r="J41" s="7">
        <v>1.8</v>
      </c>
      <c r="K41" s="6" t="str">
        <f>IF(OR(_2_1[[#This Row],[Vibration]]&gt;3,Table14[[#This Row],[Temperature]]&gt;60),"HIGH","LOW")</f>
        <v>LOW</v>
      </c>
    </row>
    <row r="42" spans="1:11" x14ac:dyDescent="0.3">
      <c r="A42" s="1" t="s">
        <v>16</v>
      </c>
      <c r="B42" s="2">
        <v>45662</v>
      </c>
      <c r="C42" s="5">
        <v>63</v>
      </c>
      <c r="D42" s="1">
        <v>1660</v>
      </c>
      <c r="E42" s="1">
        <v>91</v>
      </c>
      <c r="F42" s="1">
        <v>51</v>
      </c>
      <c r="G42" s="1">
        <v>55</v>
      </c>
      <c r="H42" s="1">
        <v>210</v>
      </c>
      <c r="I42" s="1">
        <v>1</v>
      </c>
      <c r="J42" s="7">
        <v>3.9</v>
      </c>
      <c r="K42" s="6" t="str">
        <f>IF(OR(_2_1[[#This Row],[Vibration]]&gt;3,Table14[[#This Row],[Temperature]]&gt;60),"HIGH","LOW")</f>
        <v>HIGH</v>
      </c>
    </row>
    <row r="43" spans="1:11" x14ac:dyDescent="0.3">
      <c r="A43" s="1" t="s">
        <v>16</v>
      </c>
      <c r="B43" s="2">
        <v>45663</v>
      </c>
      <c r="C43" s="5">
        <v>45</v>
      </c>
      <c r="D43" s="1">
        <v>1460</v>
      </c>
      <c r="E43" s="1">
        <v>58</v>
      </c>
      <c r="F43" s="1">
        <v>30</v>
      </c>
      <c r="G43" s="1">
        <v>40</v>
      </c>
      <c r="H43" s="1">
        <v>115</v>
      </c>
      <c r="I43" s="1">
        <v>0</v>
      </c>
      <c r="J43" s="7">
        <v>2</v>
      </c>
      <c r="K43" s="6" t="str">
        <f>IF(OR(_2_1[[#This Row],[Vibration]]&gt;3,Table14[[#This Row],[Temperature]]&gt;60),"HIGH","LOW")</f>
        <v>LOW</v>
      </c>
    </row>
    <row r="44" spans="1:11" x14ac:dyDescent="0.3">
      <c r="A44" s="1" t="s">
        <v>17</v>
      </c>
      <c r="B44" s="2">
        <v>45658</v>
      </c>
      <c r="C44" s="5">
        <v>44</v>
      </c>
      <c r="D44" s="1">
        <v>1480</v>
      </c>
      <c r="E44" s="1">
        <v>57</v>
      </c>
      <c r="F44" s="1">
        <v>29</v>
      </c>
      <c r="G44" s="1">
        <v>38</v>
      </c>
      <c r="H44" s="1">
        <v>115</v>
      </c>
      <c r="I44" s="1">
        <v>0</v>
      </c>
      <c r="J44" s="7">
        <v>2</v>
      </c>
      <c r="K44" s="6" t="str">
        <f>IF(OR(_2_1[[#This Row],[Vibration]]&gt;3,Table14[[#This Row],[Temperature]]&gt;60),"HIGH","LOW")</f>
        <v>LOW</v>
      </c>
    </row>
    <row r="45" spans="1:11" x14ac:dyDescent="0.3">
      <c r="A45" s="1" t="s">
        <v>17</v>
      </c>
      <c r="B45" s="2">
        <v>45659</v>
      </c>
      <c r="C45" s="5">
        <v>46</v>
      </c>
      <c r="D45" s="1">
        <v>1500</v>
      </c>
      <c r="E45" s="1">
        <v>60</v>
      </c>
      <c r="F45" s="1">
        <v>31</v>
      </c>
      <c r="G45" s="1">
        <v>40</v>
      </c>
      <c r="H45" s="1">
        <v>120</v>
      </c>
      <c r="I45" s="1">
        <v>0</v>
      </c>
      <c r="J45" s="7">
        <v>2.2999999999999998</v>
      </c>
      <c r="K45" s="6" t="str">
        <f>IF(OR(_2_1[[#This Row],[Vibration]]&gt;3,Table14[[#This Row],[Temperature]]&gt;60),"HIGH","LOW")</f>
        <v>LOW</v>
      </c>
    </row>
    <row r="46" spans="1:11" x14ac:dyDescent="0.3">
      <c r="A46" s="1" t="s">
        <v>17</v>
      </c>
      <c r="B46" s="2">
        <v>45660</v>
      </c>
      <c r="C46" s="5">
        <v>60</v>
      </c>
      <c r="D46" s="1">
        <v>1610</v>
      </c>
      <c r="E46" s="1">
        <v>86</v>
      </c>
      <c r="F46" s="1">
        <v>46</v>
      </c>
      <c r="G46" s="1">
        <v>52</v>
      </c>
      <c r="H46" s="1">
        <v>185</v>
      </c>
      <c r="I46" s="1">
        <v>1</v>
      </c>
      <c r="J46" s="7">
        <v>3.6</v>
      </c>
      <c r="K46" s="6" t="str">
        <f>IF(OR(_2_1[[#This Row],[Vibration]]&gt;3,Table14[[#This Row],[Temperature]]&gt;60),"HIGH","LOW")</f>
        <v>HIGH</v>
      </c>
    </row>
    <row r="47" spans="1:11" x14ac:dyDescent="0.3">
      <c r="A47" s="1" t="s">
        <v>17</v>
      </c>
      <c r="B47" s="2">
        <v>45661</v>
      </c>
      <c r="C47" s="5">
        <v>45</v>
      </c>
      <c r="D47" s="1">
        <v>1490</v>
      </c>
      <c r="E47" s="1">
        <v>58</v>
      </c>
      <c r="F47" s="1">
        <v>30</v>
      </c>
      <c r="G47" s="1">
        <v>39</v>
      </c>
      <c r="H47" s="1">
        <v>118</v>
      </c>
      <c r="I47" s="1">
        <v>0</v>
      </c>
      <c r="J47" s="7">
        <v>2.1</v>
      </c>
      <c r="K47" s="6" t="str">
        <f>IF(OR(_2_1[[#This Row],[Vibration]]&gt;3,Table14[[#This Row],[Temperature]]&gt;60),"HIGH","LOW")</f>
        <v>LOW</v>
      </c>
    </row>
    <row r="48" spans="1:11" x14ac:dyDescent="0.3">
      <c r="A48" s="1" t="s">
        <v>17</v>
      </c>
      <c r="B48" s="2">
        <v>45662</v>
      </c>
      <c r="C48" s="5">
        <v>66</v>
      </c>
      <c r="D48" s="1">
        <v>1690</v>
      </c>
      <c r="E48" s="1">
        <v>94</v>
      </c>
      <c r="F48" s="1">
        <v>53</v>
      </c>
      <c r="G48" s="1">
        <v>57</v>
      </c>
      <c r="H48" s="1">
        <v>225</v>
      </c>
      <c r="I48" s="1">
        <v>1</v>
      </c>
      <c r="J48" s="7">
        <v>4.2</v>
      </c>
      <c r="K48" s="6" t="str">
        <f>IF(OR(_2_1[[#This Row],[Vibration]]&gt;3,Table14[[#This Row],[Temperature]]&gt;60),"HIGH","LOW")</f>
        <v>HIGH</v>
      </c>
    </row>
    <row r="49" spans="1:11" x14ac:dyDescent="0.3">
      <c r="A49" s="1" t="s">
        <v>17</v>
      </c>
      <c r="B49" s="2">
        <v>45663</v>
      </c>
      <c r="C49" s="5">
        <v>47</v>
      </c>
      <c r="D49" s="1">
        <v>1520</v>
      </c>
      <c r="E49" s="1">
        <v>63</v>
      </c>
      <c r="F49" s="1">
        <v>32</v>
      </c>
      <c r="G49" s="1">
        <v>41</v>
      </c>
      <c r="H49" s="1">
        <v>125</v>
      </c>
      <c r="I49" s="1">
        <v>0</v>
      </c>
      <c r="J49" s="7">
        <v>2.4</v>
      </c>
      <c r="K49" s="6" t="str">
        <f>IF(OR(_2_1[[#This Row],[Vibration]]&gt;3,Table14[[#This Row],[Temperature]]&gt;60),"HIGH","LOW")</f>
        <v>LOW</v>
      </c>
    </row>
  </sheetData>
  <phoneticPr fontId="1" type="noConversion"/>
  <conditionalFormatting sqref="K1:K1048576">
    <cfRule type="containsText" dxfId="18" priority="1" operator="containsText" text="LOW">
      <formula>NOT(ISERROR(SEARCH("LOW",K1)))</formula>
    </cfRule>
    <cfRule type="containsText" dxfId="17" priority="2" operator="containsText" text="HIGH">
      <formula>NOT(ISERROR(SEARCH("HIGH",K1)))</formula>
    </cfRule>
  </conditionalFormatting>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360E74-D163-427C-9228-EEE3891983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AYŞE GÜREL</dc:creator>
  <cp:lastModifiedBy>AYŞE GÜREL</cp:lastModifiedBy>
  <dcterms:created xsi:type="dcterms:W3CDTF">2026-03-17T06:17:16Z</dcterms:created>
  <dcterms:modified xsi:type="dcterms:W3CDTF">2026-03-17T13:02:45Z</dcterms:modified>
</cp:coreProperties>
</file>